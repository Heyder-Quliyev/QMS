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AZAL\Dərs 7\"/>
    </mc:Choice>
  </mc:AlternateContent>
  <xr:revisionPtr revIDLastSave="0" documentId="13_ncr:1_{AB3D897D-EFCF-4C02-ACBA-CCD583B59FBF}" xr6:coauthVersionLast="47" xr6:coauthVersionMax="47" xr10:uidLastSave="{00000000-0000-0000-0000-000000000000}"/>
  <bookViews>
    <workbookView xWindow="-108" yWindow="-108" windowWidth="23256" windowHeight="12456" firstSheet="10" activeTab="15" xr2:uid="{3B963078-3D8C-404E-B942-361C3C80E5BA}"/>
  </bookViews>
  <sheets>
    <sheet name="HOME" sheetId="22" r:id="rId1"/>
    <sheet name="SHORTCUTS" sheetId="8" r:id="rId2"/>
    <sheet name="Funksiya MƏLUMAT" sheetId="79" r:id="rId3"/>
    <sheet name="SUMIFS" sheetId="82" r:id="rId4"/>
    <sheet name="Other Formulas" sheetId="83" r:id="rId5"/>
    <sheet name="COUNTIFS" sheetId="89" r:id="rId6"/>
    <sheet name="Practise" sheetId="85" r:id="rId7"/>
    <sheet name="Task #1" sheetId="84" r:id="rId8"/>
    <sheet name="Task #2" sheetId="87" r:id="rId9"/>
    <sheet name="Aralıq şərti" sheetId="80" r:id="rId10"/>
    <sheet name="Joker simvollar" sheetId="81" r:id="rId11"/>
    <sheet name="Task #3" sheetId="86" r:id="rId12"/>
    <sheet name="LARGE &amp;SMALL" sheetId="90" r:id="rId13"/>
    <sheet name="SUBTOTAL&amp;AGGREGATE" sheetId="91" r:id="rId14"/>
    <sheet name="Task #4" sheetId="92" r:id="rId15"/>
    <sheet name="Task #5" sheetId="93" r:id="rId16"/>
  </sheets>
  <definedNames>
    <definedName name="_xlnm._FilterDatabase" localSheetId="12" hidden="1">'LARGE &amp;SMALL'!$A$1:$C$15</definedName>
    <definedName name="Slicer_Məhsul">#N/A</definedName>
    <definedName name="Slicer_Ölkə">#N/A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93" l="1"/>
  <c r="G8" i="90"/>
  <c r="H5" i="90"/>
  <c r="G5" i="90"/>
  <c r="H2" i="90"/>
  <c r="G2" i="90"/>
  <c r="K4" i="86" a="1"/>
  <c r="K4" i="86" s="1"/>
  <c r="J4" i="86"/>
  <c r="H14" i="81"/>
  <c r="M2" i="81"/>
  <c r="H10" i="81"/>
  <c r="H6" i="81"/>
  <c r="I15" i="80"/>
  <c r="I13" i="80" a="1"/>
  <c r="I13" i="80" s="1"/>
  <c r="I12" i="80"/>
  <c r="J5" i="82"/>
  <c r="I8" i="80"/>
  <c r="I4" i="80"/>
  <c r="K4" i="87"/>
  <c r="J4" i="87"/>
  <c r="I2" i="84"/>
  <c r="G5" i="85"/>
  <c r="H5" i="85"/>
  <c r="I5" i="85"/>
  <c r="G6" i="85"/>
  <c r="H6" i="85"/>
  <c r="I6" i="85"/>
  <c r="G7" i="85"/>
  <c r="H7" i="85"/>
  <c r="I7" i="85"/>
  <c r="G8" i="85"/>
  <c r="H8" i="85"/>
  <c r="I8" i="85"/>
  <c r="G9" i="85"/>
  <c r="H9" i="85"/>
  <c r="I9" i="85"/>
  <c r="G10" i="85"/>
  <c r="H10" i="85"/>
  <c r="I10" i="85"/>
  <c r="G11" i="85"/>
  <c r="H11" i="85"/>
  <c r="I11" i="85"/>
  <c r="H4" i="85"/>
  <c r="I4" i="85"/>
  <c r="G4" i="85"/>
  <c r="G7" i="89"/>
  <c r="G3" i="89"/>
  <c r="I15" i="83"/>
  <c r="I9" i="83"/>
  <c r="I4" i="83"/>
  <c r="I17" i="82"/>
  <c r="I14" i="82"/>
  <c r="J12" i="82"/>
  <c r="J11" i="82"/>
  <c r="J3" i="82"/>
  <c r="J4" i="82"/>
  <c r="J2" i="82"/>
  <c r="A692" i="91"/>
  <c r="A691" i="91"/>
  <c r="A690" i="91"/>
  <c r="A689" i="91"/>
  <c r="A688" i="91"/>
  <c r="A687" i="91"/>
  <c r="A686" i="91"/>
  <c r="A685" i="91"/>
  <c r="A684" i="91"/>
  <c r="A683" i="91"/>
  <c r="A682" i="91"/>
  <c r="A681" i="91"/>
  <c r="A680" i="91"/>
  <c r="A679" i="91"/>
  <c r="A678" i="91"/>
  <c r="A677" i="91"/>
  <c r="A676" i="91"/>
  <c r="A675" i="91"/>
  <c r="A674" i="91"/>
  <c r="A673" i="91"/>
  <c r="A672" i="91"/>
  <c r="A671" i="91"/>
  <c r="A670" i="91"/>
  <c r="A669" i="91"/>
  <c r="A668" i="91"/>
  <c r="A667" i="91"/>
  <c r="A666" i="91"/>
  <c r="A665" i="91"/>
  <c r="A664" i="91"/>
  <c r="A663" i="91"/>
  <c r="A662" i="91"/>
  <c r="A661" i="91"/>
  <c r="A660" i="91"/>
  <c r="A659" i="91"/>
  <c r="A658" i="91"/>
  <c r="A657" i="91"/>
  <c r="A656" i="91"/>
  <c r="A655" i="91"/>
  <c r="A654" i="91"/>
  <c r="A653" i="91"/>
  <c r="A652" i="91"/>
  <c r="A651" i="91"/>
  <c r="A650" i="91"/>
  <c r="A649" i="91"/>
  <c r="A648" i="91"/>
  <c r="A647" i="91"/>
  <c r="A646" i="91"/>
  <c r="A645" i="91"/>
  <c r="A644" i="91"/>
  <c r="A643" i="91"/>
  <c r="A642" i="91"/>
  <c r="A641" i="91"/>
  <c r="A640" i="91"/>
  <c r="A639" i="91"/>
  <c r="A638" i="91"/>
  <c r="A637" i="91"/>
  <c r="A636" i="91"/>
  <c r="A635" i="91"/>
  <c r="A634" i="91"/>
  <c r="A633" i="91"/>
  <c r="A632" i="91"/>
  <c r="A631" i="91"/>
  <c r="A630" i="91"/>
  <c r="A629" i="91"/>
  <c r="A628" i="91"/>
  <c r="A627" i="91"/>
  <c r="A626" i="91"/>
  <c r="A625" i="91"/>
  <c r="A624" i="91"/>
  <c r="A623" i="91"/>
  <c r="A622" i="91"/>
  <c r="A621" i="91"/>
  <c r="A620" i="91"/>
  <c r="A619" i="91"/>
  <c r="A618" i="91"/>
  <c r="A617" i="91"/>
  <c r="A616" i="91"/>
  <c r="A615" i="91"/>
  <c r="A614" i="91"/>
  <c r="A613" i="91"/>
  <c r="A612" i="91"/>
  <c r="A611" i="91"/>
  <c r="A610" i="91"/>
  <c r="A609" i="91"/>
  <c r="A608" i="91"/>
  <c r="A607" i="91"/>
  <c r="A606" i="91"/>
  <c r="A605" i="91"/>
  <c r="A604" i="91"/>
  <c r="A603" i="91"/>
  <c r="A602" i="91"/>
  <c r="A601" i="91"/>
  <c r="A600" i="91"/>
  <c r="A599" i="91"/>
  <c r="A598" i="91"/>
  <c r="A597" i="91"/>
  <c r="A596" i="91"/>
  <c r="A595" i="91"/>
  <c r="A594" i="91"/>
  <c r="A593" i="91"/>
  <c r="A592" i="91"/>
  <c r="A591" i="91"/>
  <c r="A590" i="91"/>
  <c r="A589" i="91"/>
  <c r="A588" i="91"/>
  <c r="A587" i="91"/>
  <c r="A586" i="91"/>
  <c r="A585" i="91"/>
  <c r="A584" i="91"/>
  <c r="A583" i="91"/>
  <c r="A582" i="91"/>
  <c r="A581" i="91"/>
  <c r="A580" i="91"/>
  <c r="A579" i="91"/>
  <c r="A578" i="91"/>
  <c r="A577" i="91"/>
  <c r="A576" i="91"/>
  <c r="A575" i="91"/>
  <c r="A574" i="91"/>
  <c r="A573" i="91"/>
  <c r="A572" i="91"/>
  <c r="A571" i="91"/>
  <c r="A570" i="91"/>
  <c r="A569" i="91"/>
  <c r="A568" i="91"/>
  <c r="A567" i="91"/>
  <c r="A566" i="91"/>
  <c r="A565" i="91"/>
  <c r="A564" i="91"/>
  <c r="A563" i="91"/>
  <c r="A562" i="91"/>
  <c r="A561" i="91"/>
  <c r="A560" i="91"/>
  <c r="A559" i="91"/>
  <c r="A558" i="91"/>
  <c r="A557" i="91"/>
  <c r="A556" i="91"/>
  <c r="A555" i="91"/>
  <c r="A554" i="91"/>
  <c r="A553" i="91"/>
  <c r="A552" i="91"/>
  <c r="A551" i="91"/>
  <c r="A550" i="91"/>
  <c r="A549" i="91"/>
  <c r="A548" i="91"/>
  <c r="A547" i="91"/>
  <c r="A546" i="91"/>
  <c r="A545" i="91"/>
  <c r="A544" i="91"/>
  <c r="A543" i="91"/>
  <c r="A542" i="91"/>
  <c r="A541" i="91"/>
  <c r="A540" i="91"/>
  <c r="A539" i="91"/>
  <c r="A538" i="91"/>
  <c r="A537" i="91"/>
  <c r="A536" i="91"/>
  <c r="A535" i="91"/>
  <c r="A534" i="91"/>
  <c r="A533" i="91"/>
  <c r="A532" i="91"/>
  <c r="A531" i="91"/>
  <c r="A530" i="91"/>
  <c r="A529" i="91"/>
  <c r="A528" i="91"/>
  <c r="A527" i="91"/>
  <c r="A526" i="91"/>
  <c r="A525" i="91"/>
  <c r="A524" i="91"/>
  <c r="A523" i="91"/>
  <c r="A522" i="91"/>
  <c r="A521" i="91"/>
  <c r="A520" i="91"/>
  <c r="A519" i="91"/>
  <c r="A518" i="91"/>
  <c r="A517" i="91"/>
  <c r="A516" i="91"/>
  <c r="A515" i="91"/>
  <c r="A514" i="91"/>
  <c r="A513" i="91"/>
  <c r="A512" i="91"/>
  <c r="A511" i="91"/>
  <c r="A510" i="91"/>
  <c r="A509" i="91"/>
  <c r="A508" i="91"/>
  <c r="A507" i="91"/>
  <c r="A506" i="91"/>
  <c r="A505" i="91"/>
  <c r="A504" i="91"/>
  <c r="A503" i="91"/>
  <c r="A502" i="91"/>
  <c r="A501" i="91"/>
  <c r="A500" i="91"/>
  <c r="A499" i="91"/>
  <c r="A498" i="91"/>
  <c r="A497" i="91"/>
  <c r="A496" i="91"/>
  <c r="A495" i="91"/>
  <c r="A494" i="91"/>
  <c r="A493" i="91"/>
  <c r="A492" i="91"/>
  <c r="A491" i="91"/>
  <c r="A490" i="91"/>
  <c r="A489" i="91"/>
  <c r="A488" i="91"/>
  <c r="A487" i="91"/>
  <c r="A486" i="91"/>
  <c r="A485" i="91"/>
  <c r="A484" i="91"/>
  <c r="A483" i="91"/>
  <c r="A482" i="91"/>
  <c r="A481" i="91"/>
  <c r="A480" i="91"/>
  <c r="A479" i="91"/>
  <c r="A478" i="91"/>
  <c r="A477" i="91"/>
  <c r="A476" i="91"/>
  <c r="A475" i="91"/>
  <c r="A474" i="91"/>
  <c r="A473" i="91"/>
  <c r="A472" i="91"/>
  <c r="A471" i="91"/>
  <c r="A470" i="91"/>
  <c r="A469" i="91"/>
  <c r="A468" i="91"/>
  <c r="A467" i="91"/>
  <c r="A466" i="91"/>
  <c r="A465" i="91"/>
  <c r="A464" i="91"/>
  <c r="A463" i="91"/>
  <c r="A462" i="91"/>
  <c r="A461" i="91"/>
  <c r="A460" i="91"/>
  <c r="A459" i="91"/>
  <c r="A458" i="91"/>
  <c r="A457" i="91"/>
  <c r="A456" i="91"/>
  <c r="A455" i="91"/>
  <c r="A454" i="91"/>
  <c r="A453" i="91"/>
  <c r="A452" i="91"/>
  <c r="A451" i="91"/>
  <c r="A450" i="91"/>
  <c r="A449" i="91"/>
  <c r="A448" i="91"/>
  <c r="A447" i="91"/>
  <c r="A446" i="91"/>
  <c r="A445" i="91"/>
  <c r="A444" i="91"/>
  <c r="A443" i="91"/>
  <c r="A442" i="91"/>
  <c r="A441" i="91"/>
  <c r="A440" i="91"/>
  <c r="A439" i="91"/>
  <c r="A438" i="91"/>
  <c r="A437" i="91"/>
  <c r="A436" i="91"/>
  <c r="A435" i="91"/>
  <c r="A434" i="91"/>
  <c r="A433" i="91"/>
  <c r="A432" i="91"/>
  <c r="A431" i="91"/>
  <c r="A430" i="91"/>
  <c r="A429" i="91"/>
  <c r="A428" i="91"/>
  <c r="A427" i="91"/>
  <c r="A426" i="91"/>
  <c r="A425" i="91"/>
  <c r="A424" i="91"/>
  <c r="A423" i="91"/>
  <c r="A422" i="91"/>
  <c r="A421" i="91"/>
  <c r="A420" i="91"/>
  <c r="A419" i="91"/>
  <c r="A418" i="91"/>
  <c r="A417" i="91"/>
  <c r="A416" i="91"/>
  <c r="A415" i="91"/>
  <c r="A414" i="91"/>
  <c r="A413" i="91"/>
  <c r="A412" i="91"/>
  <c r="A411" i="91"/>
  <c r="A410" i="91"/>
  <c r="A409" i="91"/>
  <c r="A408" i="91"/>
  <c r="A407" i="91"/>
  <c r="A406" i="91"/>
  <c r="A405" i="91"/>
  <c r="A404" i="91"/>
  <c r="A403" i="91"/>
  <c r="A402" i="91"/>
  <c r="A401" i="91"/>
  <c r="A400" i="91"/>
  <c r="A399" i="91"/>
  <c r="A398" i="91"/>
  <c r="A397" i="91"/>
  <c r="A396" i="91"/>
  <c r="A395" i="91"/>
  <c r="A394" i="91"/>
  <c r="A393" i="91"/>
  <c r="A392" i="91"/>
  <c r="A391" i="91"/>
  <c r="A390" i="91"/>
  <c r="A389" i="91"/>
  <c r="A388" i="91"/>
  <c r="A387" i="91"/>
  <c r="A386" i="91"/>
  <c r="A385" i="91"/>
  <c r="A384" i="91"/>
  <c r="A383" i="91"/>
  <c r="A382" i="91"/>
  <c r="A381" i="91"/>
  <c r="A380" i="91"/>
  <c r="A379" i="91"/>
  <c r="A378" i="91"/>
  <c r="A377" i="91"/>
  <c r="A376" i="91"/>
  <c r="A375" i="91"/>
  <c r="A374" i="91"/>
  <c r="A373" i="91"/>
  <c r="A372" i="91"/>
  <c r="A371" i="91"/>
  <c r="A370" i="91"/>
  <c r="A369" i="91"/>
  <c r="A368" i="91"/>
  <c r="A367" i="91"/>
  <c r="A366" i="91"/>
  <c r="A365" i="91"/>
  <c r="A364" i="91"/>
  <c r="A363" i="91"/>
  <c r="A362" i="91"/>
  <c r="A361" i="91"/>
  <c r="A360" i="91"/>
  <c r="A359" i="91"/>
  <c r="A358" i="91"/>
  <c r="A357" i="91"/>
  <c r="A356" i="91"/>
  <c r="A355" i="91"/>
  <c r="A354" i="91"/>
  <c r="A353" i="91"/>
  <c r="A352" i="91"/>
  <c r="A351" i="91"/>
  <c r="A350" i="91"/>
  <c r="A349" i="91"/>
  <c r="A348" i="91"/>
  <c r="A347" i="91"/>
  <c r="A346" i="91"/>
  <c r="A345" i="91"/>
  <c r="A344" i="91"/>
  <c r="A343" i="91"/>
  <c r="A342" i="91"/>
  <c r="A341" i="91"/>
  <c r="A340" i="91"/>
  <c r="A339" i="91"/>
  <c r="A338" i="91"/>
  <c r="A337" i="91"/>
  <c r="A336" i="91"/>
  <c r="A335" i="91"/>
  <c r="A334" i="91"/>
  <c r="A333" i="91"/>
  <c r="A332" i="91"/>
  <c r="A331" i="91"/>
  <c r="A330" i="91"/>
  <c r="A329" i="91"/>
  <c r="A328" i="91"/>
  <c r="A327" i="91"/>
  <c r="A326" i="91"/>
  <c r="A325" i="91"/>
  <c r="A324" i="91"/>
  <c r="A323" i="91"/>
  <c r="A322" i="91"/>
  <c r="A321" i="91"/>
  <c r="A320" i="91"/>
  <c r="A319" i="91"/>
  <c r="A318" i="91"/>
  <c r="A317" i="91"/>
  <c r="A316" i="91"/>
  <c r="A315" i="91"/>
  <c r="A314" i="91"/>
  <c r="A313" i="91"/>
  <c r="A312" i="91"/>
  <c r="A311" i="91"/>
  <c r="A310" i="91"/>
  <c r="A309" i="91"/>
  <c r="A308" i="91"/>
  <c r="A307" i="91"/>
  <c r="A306" i="91"/>
  <c r="A305" i="91"/>
  <c r="A304" i="91"/>
  <c r="A303" i="91"/>
  <c r="A302" i="91"/>
  <c r="A301" i="91"/>
  <c r="A300" i="91"/>
  <c r="A299" i="91"/>
  <c r="A298" i="91"/>
  <c r="A297" i="91"/>
  <c r="A296" i="91"/>
  <c r="A295" i="91"/>
  <c r="A294" i="91"/>
  <c r="A293" i="91"/>
  <c r="A292" i="91"/>
  <c r="A291" i="91"/>
  <c r="A290" i="91"/>
  <c r="A289" i="91"/>
  <c r="A288" i="91"/>
  <c r="A287" i="91"/>
  <c r="A286" i="91"/>
  <c r="A285" i="91"/>
  <c r="A284" i="91"/>
  <c r="A283" i="91"/>
  <c r="A282" i="91"/>
  <c r="A281" i="91"/>
  <c r="A280" i="91"/>
  <c r="A279" i="91"/>
  <c r="A278" i="91"/>
  <c r="A277" i="91"/>
  <c r="A276" i="91"/>
  <c r="A275" i="91"/>
  <c r="A274" i="91"/>
  <c r="A273" i="91"/>
  <c r="A272" i="91"/>
  <c r="A271" i="91"/>
  <c r="A270" i="91"/>
  <c r="A269" i="91"/>
  <c r="A268" i="91"/>
  <c r="A267" i="91"/>
  <c r="A266" i="91"/>
  <c r="A265" i="91"/>
  <c r="A264" i="91"/>
  <c r="A263" i="91"/>
  <c r="A262" i="91"/>
  <c r="A261" i="91"/>
  <c r="A260" i="91"/>
  <c r="A259" i="91"/>
  <c r="A258" i="91"/>
  <c r="A257" i="91"/>
  <c r="A256" i="91"/>
  <c r="A255" i="91"/>
  <c r="A254" i="91"/>
  <c r="A253" i="91"/>
  <c r="A252" i="91"/>
  <c r="A251" i="91"/>
  <c r="A250" i="91"/>
  <c r="A249" i="91"/>
  <c r="A248" i="91"/>
  <c r="A247" i="91"/>
  <c r="A246" i="91"/>
  <c r="A245" i="91"/>
  <c r="A244" i="91"/>
  <c r="A243" i="91"/>
  <c r="A242" i="91"/>
  <c r="A241" i="91"/>
  <c r="A240" i="91"/>
  <c r="A239" i="91"/>
  <c r="A238" i="91"/>
  <c r="A237" i="91"/>
  <c r="A236" i="91"/>
  <c r="A235" i="91"/>
  <c r="A234" i="91"/>
  <c r="A233" i="91"/>
  <c r="A232" i="91"/>
  <c r="A231" i="91"/>
  <c r="A230" i="91"/>
  <c r="A229" i="91"/>
  <c r="A228" i="91"/>
  <c r="A227" i="91"/>
  <c r="A226" i="91"/>
  <c r="A225" i="91"/>
  <c r="A224" i="91"/>
  <c r="A223" i="91"/>
  <c r="A222" i="91"/>
  <c r="A221" i="91"/>
  <c r="A220" i="91"/>
  <c r="A219" i="91"/>
  <c r="A218" i="91"/>
  <c r="A217" i="91"/>
  <c r="A216" i="91"/>
  <c r="A215" i="91"/>
  <c r="A214" i="91"/>
  <c r="A213" i="91"/>
  <c r="A212" i="91"/>
  <c r="A211" i="91"/>
  <c r="A210" i="91"/>
  <c r="A209" i="91"/>
  <c r="A208" i="91"/>
  <c r="A207" i="91"/>
  <c r="A206" i="91"/>
  <c r="A205" i="91"/>
  <c r="A204" i="91"/>
  <c r="A203" i="91"/>
  <c r="A202" i="91"/>
  <c r="A201" i="91"/>
  <c r="A200" i="91"/>
  <c r="A199" i="91"/>
  <c r="A198" i="91"/>
  <c r="A197" i="91"/>
  <c r="A196" i="91"/>
  <c r="A195" i="91"/>
  <c r="A194" i="91"/>
  <c r="A193" i="91"/>
  <c r="A192" i="91"/>
  <c r="A191" i="91"/>
  <c r="A190" i="91"/>
  <c r="A189" i="91"/>
  <c r="A188" i="91"/>
  <c r="A187" i="91"/>
  <c r="A186" i="91"/>
  <c r="A185" i="91"/>
  <c r="A184" i="91"/>
  <c r="A183" i="91"/>
  <c r="A182" i="91"/>
  <c r="A181" i="91"/>
  <c r="A180" i="91"/>
  <c r="A179" i="91"/>
  <c r="A178" i="91"/>
  <c r="A177" i="91"/>
  <c r="A176" i="91"/>
  <c r="A175" i="91"/>
  <c r="A174" i="91"/>
  <c r="A173" i="91"/>
  <c r="A172" i="91"/>
  <c r="A171" i="91"/>
  <c r="A170" i="91"/>
  <c r="A169" i="91"/>
  <c r="A168" i="91"/>
  <c r="A167" i="91"/>
  <c r="A166" i="91"/>
  <c r="A165" i="91"/>
  <c r="A164" i="91"/>
  <c r="A163" i="91"/>
  <c r="A162" i="91"/>
  <c r="A161" i="91"/>
  <c r="A160" i="91"/>
  <c r="A159" i="91"/>
  <c r="A158" i="91"/>
  <c r="A157" i="91"/>
  <c r="A156" i="91"/>
  <c r="A155" i="91"/>
  <c r="A154" i="91"/>
  <c r="A153" i="91"/>
  <c r="A152" i="91"/>
  <c r="A151" i="91"/>
  <c r="A150" i="91"/>
  <c r="A149" i="91"/>
  <c r="A148" i="91"/>
  <c r="A147" i="91"/>
  <c r="A146" i="91"/>
  <c r="A145" i="91"/>
  <c r="A144" i="91"/>
  <c r="A143" i="91"/>
  <c r="A142" i="91"/>
  <c r="A141" i="91"/>
  <c r="A140" i="91"/>
  <c r="A139" i="91"/>
  <c r="A138" i="91"/>
  <c r="A137" i="91"/>
  <c r="A136" i="91"/>
  <c r="A135" i="91"/>
  <c r="A134" i="91"/>
  <c r="A133" i="91"/>
  <c r="A132" i="91"/>
  <c r="A131" i="91"/>
  <c r="A130" i="91"/>
  <c r="A129" i="91"/>
  <c r="A128" i="91"/>
  <c r="A127" i="91"/>
  <c r="A126" i="91"/>
  <c r="A125" i="91"/>
  <c r="A124" i="91"/>
  <c r="A123" i="91"/>
  <c r="A122" i="91"/>
  <c r="A121" i="91"/>
  <c r="A120" i="91"/>
  <c r="A119" i="91"/>
  <c r="A118" i="91"/>
  <c r="A117" i="91"/>
  <c r="A116" i="91"/>
  <c r="A115" i="91"/>
  <c r="A114" i="91"/>
  <c r="A113" i="91"/>
  <c r="A112" i="91"/>
  <c r="A111" i="91"/>
  <c r="A110" i="91"/>
  <c r="A109" i="91"/>
  <c r="A108" i="91"/>
  <c r="A107" i="91"/>
  <c r="A106" i="91"/>
  <c r="A105" i="91"/>
  <c r="A104" i="91"/>
  <c r="A103" i="91"/>
  <c r="A102" i="91"/>
  <c r="A101" i="91"/>
  <c r="A100" i="91"/>
  <c r="A99" i="91"/>
  <c r="A98" i="91"/>
  <c r="A97" i="91"/>
  <c r="A96" i="91"/>
  <c r="A95" i="91"/>
  <c r="A94" i="91"/>
  <c r="A93" i="91"/>
  <c r="A92" i="91"/>
  <c r="A91" i="91"/>
  <c r="A90" i="91"/>
  <c r="A89" i="91"/>
  <c r="A88" i="91"/>
  <c r="A87" i="91"/>
  <c r="A86" i="91"/>
  <c r="A85" i="91"/>
  <c r="A84" i="91"/>
  <c r="A83" i="91"/>
  <c r="A82" i="91"/>
  <c r="A81" i="91"/>
  <c r="A80" i="91"/>
  <c r="A79" i="91"/>
  <c r="A78" i="91"/>
  <c r="A77" i="91"/>
  <c r="A76" i="91"/>
  <c r="A75" i="91"/>
  <c r="A74" i="91"/>
  <c r="A73" i="91"/>
  <c r="A72" i="91"/>
  <c r="A71" i="91"/>
  <c r="A70" i="91"/>
  <c r="A69" i="91"/>
  <c r="A68" i="91"/>
  <c r="A67" i="91"/>
  <c r="A66" i="91"/>
  <c r="A65" i="91"/>
  <c r="A64" i="91"/>
  <c r="A63" i="91"/>
  <c r="A62" i="91"/>
  <c r="A61" i="91"/>
  <c r="A60" i="91"/>
  <c r="A59" i="91"/>
  <c r="A58" i="91"/>
  <c r="A57" i="91"/>
  <c r="A56" i="91"/>
  <c r="A55" i="91"/>
  <c r="A54" i="91"/>
  <c r="A53" i="91"/>
  <c r="A52" i="91"/>
  <c r="A51" i="91"/>
  <c r="A50" i="91"/>
  <c r="A49" i="91"/>
  <c r="A48" i="91"/>
  <c r="A47" i="91"/>
  <c r="A46" i="91"/>
  <c r="A45" i="91"/>
  <c r="A44" i="91"/>
  <c r="A43" i="91"/>
  <c r="A42" i="91"/>
  <c r="A41" i="91"/>
  <c r="A40" i="91"/>
  <c r="A39" i="91"/>
  <c r="A38" i="91"/>
  <c r="A37" i="91"/>
  <c r="A36" i="91"/>
  <c r="A35" i="91"/>
  <c r="A34" i="91"/>
  <c r="A33" i="91"/>
  <c r="A32" i="91"/>
  <c r="A31" i="91"/>
  <c r="A30" i="91"/>
  <c r="A29" i="91"/>
  <c r="A28" i="91"/>
  <c r="A27" i="91"/>
  <c r="A26" i="91"/>
  <c r="A25" i="91"/>
  <c r="A24" i="91"/>
  <c r="A23" i="91"/>
  <c r="A22" i="91"/>
  <c r="A21" i="91"/>
  <c r="A20" i="91"/>
  <c r="A19" i="91"/>
  <c r="A18" i="91"/>
  <c r="A17" i="91"/>
  <c r="A16" i="91"/>
  <c r="A15" i="91"/>
  <c r="A14" i="91"/>
  <c r="A13" i="91"/>
  <c r="A12" i="91"/>
  <c r="A11" i="91"/>
  <c r="A10" i="91"/>
  <c r="A9" i="91"/>
  <c r="A8" i="91"/>
  <c r="A7" i="91"/>
  <c r="A6" i="91"/>
  <c r="G43" i="87" l="1"/>
  <c r="G42" i="87"/>
  <c r="G41" i="87"/>
  <c r="G40" i="87"/>
  <c r="G39" i="87"/>
  <c r="G38" i="87"/>
  <c r="G37" i="87"/>
  <c r="G36" i="87"/>
  <c r="G35" i="87"/>
  <c r="G34" i="87"/>
  <c r="G33" i="87"/>
  <c r="G32" i="87"/>
  <c r="G31" i="87"/>
  <c r="G30" i="87"/>
  <c r="G29" i="87"/>
  <c r="G28" i="87"/>
  <c r="G27" i="87"/>
  <c r="G26" i="87"/>
  <c r="G25" i="87"/>
  <c r="G24" i="87"/>
  <c r="G23" i="87"/>
  <c r="G22" i="87"/>
  <c r="G21" i="87"/>
  <c r="G20" i="87"/>
  <c r="G19" i="87"/>
  <c r="G18" i="87"/>
  <c r="G17" i="87"/>
  <c r="G16" i="87"/>
  <c r="G15" i="87"/>
  <c r="G14" i="87"/>
  <c r="G13" i="87"/>
  <c r="G12" i="87"/>
  <c r="G11" i="87"/>
  <c r="G10" i="87"/>
  <c r="G9" i="87"/>
  <c r="G8" i="87"/>
  <c r="G7" i="87"/>
  <c r="G6" i="87"/>
  <c r="G5" i="87"/>
  <c r="G4" i="87"/>
  <c r="G3" i="87"/>
  <c r="G2" i="87"/>
  <c r="G43" i="86"/>
  <c r="G42" i="86"/>
  <c r="G41" i="86"/>
  <c r="G40" i="86"/>
  <c r="G39" i="86"/>
  <c r="G38" i="86"/>
  <c r="G37" i="86"/>
  <c r="G36" i="86"/>
  <c r="G35" i="86"/>
  <c r="G34" i="86"/>
  <c r="G33" i="86"/>
  <c r="G32" i="86"/>
  <c r="G31" i="86"/>
  <c r="G30" i="86"/>
  <c r="G29" i="86"/>
  <c r="G28" i="86"/>
  <c r="G27" i="86"/>
  <c r="G26" i="86"/>
  <c r="G25" i="86"/>
  <c r="G24" i="86"/>
  <c r="G23" i="86"/>
  <c r="G22" i="86"/>
  <c r="G21" i="86"/>
  <c r="G20" i="86"/>
  <c r="G19" i="86"/>
  <c r="G18" i="86"/>
  <c r="G17" i="86"/>
  <c r="G16" i="86"/>
  <c r="G15" i="86"/>
  <c r="G14" i="86"/>
  <c r="G13" i="86"/>
  <c r="G12" i="86"/>
  <c r="G11" i="86"/>
  <c r="G10" i="86"/>
  <c r="G9" i="86"/>
  <c r="G8" i="86"/>
  <c r="G7" i="86"/>
  <c r="G6" i="86"/>
  <c r="G5" i="86"/>
  <c r="G4" i="86"/>
  <c r="G3" i="86"/>
  <c r="G2" i="8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<sst xmlns="http://schemas.openxmlformats.org/spreadsheetml/2006/main" count="8779" uniqueCount="2043">
  <si>
    <t>Qısayol</t>
  </si>
  <si>
    <t>İcra etdiyi əməliyyat</t>
  </si>
  <si>
    <t>CTRL+9</t>
  </si>
  <si>
    <t>Seçili sətiri (sətirləri) gizlədir</t>
  </si>
  <si>
    <t>CTRL+0</t>
  </si>
  <si>
    <t>Seçili sütunu (sütunları) gizlədir</t>
  </si>
  <si>
    <t>CTRL+V</t>
  </si>
  <si>
    <t>Yapışdırma</t>
  </si>
  <si>
    <t>CTRL+C</t>
  </si>
  <si>
    <t>Kopyalama</t>
  </si>
  <si>
    <t>CTRL+X</t>
  </si>
  <si>
    <t>Kəsmək</t>
  </si>
  <si>
    <t>CTRL+D</t>
  </si>
  <si>
    <t>Seçili xananı bir üst xanadakı məlumatla doldurur. Əgər diapazon seçilərsə bu zaman diapazonu seçili sahənin ilk xanasındakı dəyərlə doldurur.</t>
  </si>
  <si>
    <t>CTRL+R</t>
  </si>
  <si>
    <t>Seçili xananı bir sol xanadakı məlumatla doldurur. Əgər diapazon seçilərsə bu zaman diapazonu seçili sahənin ilk xanasındakı dəyərlə doldurur.</t>
  </si>
  <si>
    <t>CTRL+S</t>
  </si>
  <si>
    <t>Yaddaşa vermək</t>
  </si>
  <si>
    <t>CTRL+T VƏ YA CTRL+L</t>
  </si>
  <si>
    <t>Table formatlı cədvəl yaradır</t>
  </si>
  <si>
    <t>CTRL+</t>
  </si>
  <si>
    <t>Sətir, sütun və ya xana əlavə edir</t>
  </si>
  <si>
    <t>CTRL-</t>
  </si>
  <si>
    <t>Sətir, sütun və ya xana silir</t>
  </si>
  <si>
    <t>CTRL+B</t>
  </si>
  <si>
    <t>Şritfi qalın edir. (Bold)</t>
  </si>
  <si>
    <t>CTRL+I</t>
  </si>
  <si>
    <t>Şritfi maili edir. (Italic)</t>
  </si>
  <si>
    <t>CTRL+U</t>
  </si>
  <si>
    <t>Mətnin altından xətt çəkir. (Underline)</t>
  </si>
  <si>
    <t>CTRL+O</t>
  </si>
  <si>
    <t>Yaddaşa verilmiş faylı açmaq. Open</t>
  </si>
  <si>
    <t>CTRL+N</t>
  </si>
  <si>
    <t>Yeni boş səhifə yaratmaq. New</t>
  </si>
  <si>
    <t>CTRL+1</t>
  </si>
  <si>
    <t>Number format panelini açır</t>
  </si>
  <si>
    <t>CTRL+SHIFT+F</t>
  </si>
  <si>
    <t>Font panelini açır</t>
  </si>
  <si>
    <t>SHIFT+F11</t>
  </si>
  <si>
    <t>Yeni işçi səhifəsi (worksheet) yaratmaq</t>
  </si>
  <si>
    <t>CTRL+PAGE UP</t>
  </si>
  <si>
    <t>Geridə yerləşən işçi səhifəsinə keçmək</t>
  </si>
  <si>
    <t>İrəlidə yerləşən işçi səhifəsinə keçmək</t>
  </si>
  <si>
    <t>CTRL+İSTİQAMƏT OXLARI</t>
  </si>
  <si>
    <t xml:space="preserve">Ən sonuncu dolu xanaya gedir. </t>
  </si>
  <si>
    <t>CTRL+SHIFT+İSTİQAMƏT OXLARI</t>
  </si>
  <si>
    <t>Ən sonuncu dolu xanaya qədər seçir</t>
  </si>
  <si>
    <t>SHIFT+İSTİQAMƏT OXLARI</t>
  </si>
  <si>
    <t>Gedilən istiqamət boyunca xanaları seçir</t>
  </si>
  <si>
    <t>ALT+=</t>
  </si>
  <si>
    <t>Sum funksiyasının qısayolu</t>
  </si>
  <si>
    <t>F4 və ya fn+F4</t>
  </si>
  <si>
    <t>Sabitləmə əməliyyatı</t>
  </si>
  <si>
    <t>CTRL+F</t>
  </si>
  <si>
    <t>Axtarış paneli (Find)</t>
  </si>
  <si>
    <t>CTRL+H</t>
  </si>
  <si>
    <t>Əvəzləmə paneli (Replace)</t>
  </si>
  <si>
    <t>CTRL+G</t>
  </si>
  <si>
    <t>Go To paneli</t>
  </si>
  <si>
    <t>CTRL+SHIFT+L</t>
  </si>
  <si>
    <t>Filter düymələrini aktivləşdirir</t>
  </si>
  <si>
    <t>Telefon</t>
  </si>
  <si>
    <t>Notebook</t>
  </si>
  <si>
    <t>Televizor</t>
  </si>
  <si>
    <t>IF</t>
  </si>
  <si>
    <t>IFS</t>
  </si>
  <si>
    <t>Şərt</t>
  </si>
  <si>
    <t>Məhsul</t>
  </si>
  <si>
    <t>ENG</t>
  </si>
  <si>
    <t>RUS</t>
  </si>
  <si>
    <t>TUR</t>
  </si>
  <si>
    <t>Arqumentləri</t>
  </si>
  <si>
    <t>Təyinatı</t>
  </si>
  <si>
    <t>SUMPRODUCT</t>
  </si>
  <si>
    <t>СУММПРОИЗВ</t>
  </si>
  <si>
    <t>TOPLA.CARPIM</t>
  </si>
  <si>
    <t>=SUMPRODUCT(array1, [array2], [array3], ...)</t>
  </si>
  <si>
    <t xml:space="preserve">Ötürülən sahədə eyni sırada yerləşən dəyərləri bir-birinə vurur, daha sonra alınan cavabları toplayır. </t>
  </si>
  <si>
    <t>SUM</t>
  </si>
  <si>
    <t>СУММ</t>
  </si>
  <si>
    <t>TOPLA</t>
  </si>
  <si>
    <t>=SUM(number1, [number2], ...)</t>
  </si>
  <si>
    <t>Seçilən sahədəki dəyərlərin cəmini tapır</t>
  </si>
  <si>
    <t>AVERAGE</t>
  </si>
  <si>
    <t>СРЗНАЧ</t>
  </si>
  <si>
    <t>ORTALAMA</t>
  </si>
  <si>
    <t>=AVERAGE(number1, [number2], ...)</t>
  </si>
  <si>
    <t>COUNT</t>
  </si>
  <si>
    <t>СЧЁТ</t>
  </si>
  <si>
    <t>SAY</t>
  </si>
  <si>
    <t>=COUNT(value1, [value2], ...)</t>
  </si>
  <si>
    <t>Seçilən sahədə ədəd olan xanaların sayını hesablayır</t>
  </si>
  <si>
    <t>COUNTA</t>
  </si>
  <si>
    <t>СЧЁТЗ</t>
  </si>
  <si>
    <t>DOLUSAY</t>
  </si>
  <si>
    <t>=COUNTA(value1, [value2], ...)</t>
  </si>
  <si>
    <t>Seçilən sahədə dolu olan xanaların sayını hesablayır</t>
  </si>
  <si>
    <t>COUNTBLANK</t>
  </si>
  <si>
    <t>СЧЁТПУСТ</t>
  </si>
  <si>
    <t>BOŞLUKSAY</t>
  </si>
  <si>
    <t>COUNTBLANK(range)</t>
  </si>
  <si>
    <t>Seçilən sahədəki boş xanaların sayını tapır.</t>
  </si>
  <si>
    <t>MAX</t>
  </si>
  <si>
    <t>МАКС</t>
  </si>
  <si>
    <t>MAK</t>
  </si>
  <si>
    <t>=MAX(number1, [number2], ...)</t>
  </si>
  <si>
    <t>Seçilən sahədəki dəyərlərin içərisində ən yüksək olan dəyəri tapır.</t>
  </si>
  <si>
    <t>MIN</t>
  </si>
  <si>
    <t>МИН</t>
  </si>
  <si>
    <t>MİN</t>
  </si>
  <si>
    <t>=MIN(number1, [number2], ...)</t>
  </si>
  <si>
    <t>Seçilən sahədəki dəyərlərin içərisində ən aşağı olan dəyəri tapır.</t>
  </si>
  <si>
    <t>PRODUCT</t>
  </si>
  <si>
    <t>ПРОИЗВЕД</t>
  </si>
  <si>
    <t>ÇARPIM</t>
  </si>
  <si>
    <t>=PRODUCT(number1, [number2], ...)</t>
  </si>
  <si>
    <t>Seçilən ədədləri bir-birinə vurub hasilini tapır.</t>
  </si>
  <si>
    <t>ROUND</t>
  </si>
  <si>
    <t>ОКРУГЛ</t>
  </si>
  <si>
    <t>YUVARLA</t>
  </si>
  <si>
    <t>=ROUND(number, num_digits)</t>
  </si>
  <si>
    <t>Ədədi istənilən sayda onluq rəqəmə yuvarlaqlaşdırır. (Məsələn, 2 rəqəm üçün 1.235 → 1.24)</t>
  </si>
  <si>
    <t>ЕСЛИ</t>
  </si>
  <si>
    <t>EĞER</t>
  </si>
  <si>
    <t>Verilmiş şərti yoxlayır. Əgər şərt doğrudursa bir nəticə, yanlışsa başqa nəticə qaytarır.</t>
  </si>
  <si>
    <t>AND</t>
  </si>
  <si>
    <t>И</t>
  </si>
  <si>
    <t>VE</t>
  </si>
  <si>
    <t>Bütün şərtlər doğrudursa TRUE, hər hansı biri yanlışdırsa FALSE qaytarır.</t>
  </si>
  <si>
    <t>OR</t>
  </si>
  <si>
    <t>ИЛИ</t>
  </si>
  <si>
    <t>VEYA</t>
  </si>
  <si>
    <t>Ən az bir şərt doğrudursa TRUE, hamısı yanlışdırsa FALSE qaytarır.</t>
  </si>
  <si>
    <t>ЕСЛИ.МН</t>
  </si>
  <si>
    <t>ÇOK.EĞER</t>
  </si>
  <si>
    <t>NOT</t>
  </si>
  <si>
    <t>НЕ</t>
  </si>
  <si>
    <t>DEĞİL</t>
  </si>
  <si>
    <t>Verilmiş şərtin əksini qaytarır. (TRUE → FALSE, FALSE → TRUE)</t>
  </si>
  <si>
    <t>IFERROR</t>
  </si>
  <si>
    <t>ЕСЛИОШИБКА</t>
  </si>
  <si>
    <t>EĞERHATA</t>
  </si>
  <si>
    <t>Formula səhv verirsə alternativ nəticə qaytarır, yoxsa normal nəticəni verir.</t>
  </si>
  <si>
    <t>ИСТИНА</t>
  </si>
  <si>
    <t>DOĞRU</t>
  </si>
  <si>
    <t>TRUE məntiqi dəyərini qaytarır.</t>
  </si>
  <si>
    <t>ЛОЖЬ</t>
  </si>
  <si>
    <t>YANLIŞ</t>
  </si>
  <si>
    <t>FALSE məntiqi dəyərini qaytarır.</t>
  </si>
  <si>
    <t>=IF(logical_test, value_if_true, value_if_false)</t>
  </si>
  <si>
    <t>=AND(logical1,logical2, logical2,...)</t>
  </si>
  <si>
    <t>=OR(logical1,logical2, logical2,...)</t>
  </si>
  <si>
    <t>=IFS(logical_test1, value_if_true1,...)</t>
  </si>
  <si>
    <t>=NOT(logical)</t>
  </si>
  <si>
    <t>=TRUE</t>
  </si>
  <si>
    <t>=FALSE</t>
  </si>
  <si>
    <t>Birdən çox şərti yoxlayır. İlk doğru olan şərtin nəticəsini qaytarır. (İç-içə IF əvəzinə istifadə olunur.)</t>
  </si>
  <si>
    <t>=IFERROR(value, value_if_error)</t>
  </si>
  <si>
    <t>• AVERAGEIFS, COUNTIFS</t>
  </si>
  <si>
    <t>• LARGE, SMALL,  MAXİFS, MİNİFS</t>
  </si>
  <si>
    <t>• SUBTOTAL, AGGREGATE</t>
  </si>
  <si>
    <t>• SUMIFS</t>
  </si>
  <si>
    <t>Marka</t>
  </si>
  <si>
    <t>Məhsul növü</t>
  </si>
  <si>
    <t>Qiymət</t>
  </si>
  <si>
    <t>Sayı</t>
  </si>
  <si>
    <t>Gəlir</t>
  </si>
  <si>
    <t>Tarix</t>
  </si>
  <si>
    <t>BIR SÜTUNA BİRDƏN ÇOX KRİTERİYA</t>
  </si>
  <si>
    <t>Samsung</t>
  </si>
  <si>
    <t>HP</t>
  </si>
  <si>
    <t>Printer</t>
  </si>
  <si>
    <t>Sual</t>
  </si>
  <si>
    <t>Qiyməti 1000-1300 arası olan məhsullardan əldə olunan toplam gəlir</t>
  </si>
  <si>
    <t>Canon</t>
  </si>
  <si>
    <t>Həlli</t>
  </si>
  <si>
    <t>Dell</t>
  </si>
  <si>
    <t>Fotoaparat</t>
  </si>
  <si>
    <t>Telefon və Notebook satışından əldə olunan toplam gəlir</t>
  </si>
  <si>
    <t>LG</t>
  </si>
  <si>
    <t>Həlli 1</t>
  </si>
  <si>
    <t>Nikon</t>
  </si>
  <si>
    <t>Həlli 2 {}</t>
  </si>
  <si>
    <t>Lenova</t>
  </si>
  <si>
    <t>#VALUE! Xətası</t>
  </si>
  <si>
    <t>Sifariş ID</t>
  </si>
  <si>
    <t>Miqdar</t>
  </si>
  <si>
    <t>Ümumi Məbləğ</t>
  </si>
  <si>
    <t>JOKER SİMVOLLAR (* VƏ ?)</t>
  </si>
  <si>
    <t>Məhsul kodu</t>
  </si>
  <si>
    <t>SONY</t>
  </si>
  <si>
    <t>ORD1000</t>
  </si>
  <si>
    <t>Rolex Saat</t>
  </si>
  <si>
    <t>*</t>
  </si>
  <si>
    <t>Sıfır və sonsuz sayda simvol</t>
  </si>
  <si>
    <t>Sony-4566-ABC</t>
  </si>
  <si>
    <t>ORD1001</t>
  </si>
  <si>
    <t>?</t>
  </si>
  <si>
    <t>Hər sual bir simvol</t>
  </si>
  <si>
    <t>7890-Samsung-XYZ</t>
  </si>
  <si>
    <t>ORD1002</t>
  </si>
  <si>
    <t>Gucci Çanta</t>
  </si>
  <si>
    <t>LG-3214-QWE</t>
  </si>
  <si>
    <t>ORD1003</t>
  </si>
  <si>
    <t>Toplam nə qədər saat satışı olub?</t>
  </si>
  <si>
    <t>8523-Sony-RTY</t>
  </si>
  <si>
    <t>ORD1004</t>
  </si>
  <si>
    <t>Asus-9630-ASD</t>
  </si>
  <si>
    <t>ORD1005</t>
  </si>
  <si>
    <t>7412-Dell-ZXC</t>
  </si>
  <si>
    <t>ORD1006</t>
  </si>
  <si>
    <t>Xiaomi Tozsoran</t>
  </si>
  <si>
    <t>HP-3579-VBN</t>
  </si>
  <si>
    <t>ORD1007</t>
  </si>
  <si>
    <t>Gucci markasının ən yüksək qiyməti?</t>
  </si>
  <si>
    <t>6541-Lenovo-MNB</t>
  </si>
  <si>
    <t>ORD1008</t>
  </si>
  <si>
    <t>Acer-1597-POI</t>
  </si>
  <si>
    <t>ORD1009</t>
  </si>
  <si>
    <t xml:space="preserve">LG Televizor </t>
  </si>
  <si>
    <t>Sony-2368-LKJ</t>
  </si>
  <si>
    <t>ORD1010</t>
  </si>
  <si>
    <t>HP Notbuk</t>
  </si>
  <si>
    <t>Xiaomi-7854-UYT</t>
  </si>
  <si>
    <t>ORD1011</t>
  </si>
  <si>
    <t>Sony Kamera</t>
  </si>
  <si>
    <t>Iphone telefonlarından əldə olunan toplam gəlir?</t>
  </si>
  <si>
    <t>Bose-4123-DFG</t>
  </si>
  <si>
    <t>ORD1012</t>
  </si>
  <si>
    <t>Sony-9512-HJK</t>
  </si>
  <si>
    <t>ORD1013</t>
  </si>
  <si>
    <t>3698-Panasonic-CVB</t>
  </si>
  <si>
    <t>ORD1014</t>
  </si>
  <si>
    <t>Philips-2589-ERT</t>
  </si>
  <si>
    <t>ORD1015</t>
  </si>
  <si>
    <t>1475-Sharp-OPL</t>
  </si>
  <si>
    <t>ORD1016</t>
  </si>
  <si>
    <t xml:space="preserve"> Nike </t>
  </si>
  <si>
    <t>MSI-9513-TGB</t>
  </si>
  <si>
    <t>ORD1017</t>
  </si>
  <si>
    <t>Razer-7532-BNM</t>
  </si>
  <si>
    <t>ORD1018</t>
  </si>
  <si>
    <t>3691-Epson-QAZ</t>
  </si>
  <si>
    <t>ORD1019</t>
  </si>
  <si>
    <t>8521-WSX-Sony</t>
  </si>
  <si>
    <t>ORD1020</t>
  </si>
  <si>
    <t>ORD1021</t>
  </si>
  <si>
    <t>ORD1022</t>
  </si>
  <si>
    <t>ORD1023</t>
  </si>
  <si>
    <t>ORD1024</t>
  </si>
  <si>
    <t xml:space="preserve">iPhone </t>
  </si>
  <si>
    <t>ORD1025</t>
  </si>
  <si>
    <t>ORD1026</t>
  </si>
  <si>
    <t>AdidasKöynək</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</si>
  <si>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</si>
  <si>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</si>
  <si>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</si>
  <si>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</si>
  <si>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</si>
  <si>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</si>
  <si>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</si>
  <si>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</si>
  <si>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</si>
  <si>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</si>
  <si>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</si>
  <si>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</si>
  <si>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</si>
  <si>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</si>
  <si>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</si>
  <si>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</si>
  <si>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</si>
  <si>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</si>
  <si>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</si>
  <si>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</si>
  <si>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</si>
  <si>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 xml:space="preserve">IPhone </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</si>
  <si>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</si>
  <si>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</si>
  <si>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</si>
  <si>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</si>
  <si>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</si>
  <si>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</si>
  <si>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</si>
  <si>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</si>
  <si>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</si>
  <si>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</si>
  <si>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</si>
  <si>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</si>
  <si>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</si>
  <si>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</si>
  <si>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</si>
  <si>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</si>
  <si>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</si>
  <si>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</si>
  <si>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</si>
  <si>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</si>
  <si>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</si>
  <si>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</si>
  <si>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</si>
  <si>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</si>
  <si>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</si>
  <si>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</si>
  <si>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</si>
  <si>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</si>
  <si>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</si>
  <si>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</si>
  <si>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</si>
  <si>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</si>
  <si>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</si>
  <si>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</si>
  <si>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</si>
  <si>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</si>
  <si>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</si>
  <si>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</si>
  <si>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</si>
  <si>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</si>
  <si>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</si>
  <si>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</si>
  <si>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</si>
  <si>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</si>
  <si>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</si>
  <si>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</si>
  <si>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</si>
  <si>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</si>
  <si>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</si>
  <si>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</si>
  <si>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</si>
  <si>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</si>
  <si>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</si>
  <si>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</si>
  <si>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</si>
  <si>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</si>
  <si>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</si>
  <si>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</si>
  <si>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</si>
  <si>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</si>
  <si>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</si>
  <si>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</si>
  <si>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</si>
  <si>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</si>
  <si>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</si>
  <si>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</si>
  <si>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</si>
  <si>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</si>
  <si>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</si>
  <si>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</si>
  <si>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</si>
  <si>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</si>
  <si>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</si>
  <si>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</si>
  <si>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</si>
  <si>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</si>
  <si>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</si>
  <si>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</si>
  <si>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</si>
  <si>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</si>
  <si>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</si>
  <si>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</si>
  <si>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</si>
  <si>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</si>
  <si>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</si>
  <si>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</si>
  <si>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</si>
  <si>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</si>
  <si>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</si>
  <si>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</si>
  <si>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</si>
  <si>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</si>
  <si>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</si>
  <si>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</si>
  <si>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</si>
  <si>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</si>
  <si>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</si>
  <si>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</si>
  <si>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</si>
  <si>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</si>
  <si>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</si>
  <si>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</si>
  <si>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</si>
  <si>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</si>
  <si>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</si>
  <si>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</si>
  <si>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</si>
  <si>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</si>
  <si>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</si>
  <si>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</si>
  <si>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</si>
  <si>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</si>
  <si>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</si>
  <si>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</si>
  <si>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</si>
  <si>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</si>
  <si>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</si>
  <si>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</si>
  <si>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</si>
  <si>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</si>
  <si>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</si>
  <si>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</si>
  <si>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</si>
  <si>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</si>
  <si>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</si>
  <si>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</si>
  <si>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</si>
  <si>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</si>
  <si>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</si>
  <si>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</si>
  <si>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</si>
  <si>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</si>
  <si>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</si>
  <si>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</si>
  <si>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</si>
  <si>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</si>
  <si>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</si>
  <si>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</si>
  <si>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</si>
  <si>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</si>
  <si>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</si>
  <si>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</si>
  <si>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</si>
  <si>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</si>
  <si>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</si>
  <si>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</si>
  <si>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</si>
  <si>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</si>
  <si>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</si>
  <si>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</si>
  <si>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</si>
  <si>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</si>
  <si>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SUMIFS</t>
  </si>
  <si>
    <t>Toplanacaq sahə</t>
  </si>
  <si>
    <t>SUMIFS funksiyasının arqumentləri</t>
  </si>
  <si>
    <t>sum_range</t>
  </si>
  <si>
    <t>criteria_range1</t>
  </si>
  <si>
    <t>criteria1</t>
  </si>
  <si>
    <t>Kriteriya tətbiq olunacaq sahə</t>
  </si>
  <si>
    <t>Kriteriya</t>
  </si>
  <si>
    <t>Funksiya</t>
  </si>
  <si>
    <t>Toplam gəlir</t>
  </si>
  <si>
    <t>Telefon məhsullarının gəliri</t>
  </si>
  <si>
    <t>Samsung markalı telefon məhsullarının gəliri</t>
  </si>
  <si>
    <t>Qiyməti 1000-dən çox Samsung markalı telefon məhsullarının gəliri</t>
  </si>
  <si>
    <t>İSTİNADLA</t>
  </si>
  <si>
    <t>Məshul</t>
  </si>
  <si>
    <t>I8 xanasındakı məhsul satış sayı</t>
  </si>
  <si>
    <t>Qiyməti I9 xanasındakından çox olan məhsulların satış sayı</t>
  </si>
  <si>
    <t>Smart Saat</t>
  </si>
  <si>
    <t>Asus</t>
  </si>
  <si>
    <t>Huawei</t>
  </si>
  <si>
    <t>Noutbuk</t>
  </si>
  <si>
    <t>Xiaomi</t>
  </si>
  <si>
    <t>Sony</t>
  </si>
  <si>
    <t>Lenovo</t>
  </si>
  <si>
    <t>Qulaqlıq</t>
  </si>
  <si>
    <t>Apple</t>
  </si>
  <si>
    <t>Planşet</t>
  </si>
  <si>
    <t>AVERAGEIFS</t>
  </si>
  <si>
    <t>MAXIFS</t>
  </si>
  <si>
    <t>MINIFS</t>
  </si>
  <si>
    <t>Məhsul adı</t>
  </si>
  <si>
    <t>Məhsul say</t>
  </si>
  <si>
    <t>Satış məbləği</t>
  </si>
  <si>
    <t>Xərclər</t>
  </si>
  <si>
    <t>Qazanc</t>
  </si>
  <si>
    <t>Ay</t>
  </si>
  <si>
    <t>Nəticə</t>
  </si>
  <si>
    <t>Alma</t>
  </si>
  <si>
    <t>Aprel</t>
  </si>
  <si>
    <t>Heyva</t>
  </si>
  <si>
    <t>Fevral</t>
  </si>
  <si>
    <t>Nar</t>
  </si>
  <si>
    <t>Armud</t>
  </si>
  <si>
    <t>Mart</t>
  </si>
  <si>
    <t>Gilas</t>
  </si>
  <si>
    <t>Yanvar</t>
  </si>
  <si>
    <t>İşçi Adı</t>
  </si>
  <si>
    <t>Layihə Adı</t>
  </si>
  <si>
    <t>İş Saatları</t>
  </si>
  <si>
    <t>Hər bir işçinin hər bir layihəyə sərf etdiyi ümumi iş saatlarını hesablayın.</t>
  </si>
  <si>
    <t>Anar Məmmədov</t>
  </si>
  <si>
    <t>Layihə A</t>
  </si>
  <si>
    <t>Leyla Hüseynova</t>
  </si>
  <si>
    <t>Layihə B</t>
  </si>
  <si>
    <t>İşçilər</t>
  </si>
  <si>
    <t>Layihə C</t>
  </si>
  <si>
    <t>Rauf Əliyev</t>
  </si>
  <si>
    <t>Sevinc Məmmədova</t>
  </si>
  <si>
    <t>Elvin Əliyev</t>
  </si>
  <si>
    <t>Nigar Qasımova</t>
  </si>
  <si>
    <t>Orxan Abbasov</t>
  </si>
  <si>
    <t>Günel Əhmədova</t>
  </si>
  <si>
    <t>Satıcı</t>
  </si>
  <si>
    <t>Yer</t>
  </si>
  <si>
    <t>Rəng</t>
  </si>
  <si>
    <t>Say</t>
  </si>
  <si>
    <t>Məbləğ</t>
  </si>
  <si>
    <t>Satıcı adında "P" olan və rəngi "qara" olan məhsulların sayını hesablayın.</t>
  </si>
  <si>
    <t>Rəngi qara və sarı olan məhsulların sayı</t>
  </si>
  <si>
    <t>Jones P.</t>
  </si>
  <si>
    <t>Şərq</t>
  </si>
  <si>
    <t>Qara</t>
  </si>
  <si>
    <t>Bridger B</t>
  </si>
  <si>
    <t>Göy</t>
  </si>
  <si>
    <t>Qərb</t>
  </si>
  <si>
    <t>Qırmızı</t>
  </si>
  <si>
    <t>Sarı</t>
  </si>
  <si>
    <t>Parker I.</t>
  </si>
  <si>
    <t>"Göy" rəngli məhsulların "Qərb" yerində orta qiymətini tapın.</t>
  </si>
  <si>
    <t>"Qırmızı" rəngli məhsullar üçün ən yüksək qiymətini müəyyən edin</t>
  </si>
  <si>
    <t>Tələbələr</t>
  </si>
  <si>
    <t>Ballar</t>
  </si>
  <si>
    <t>Sıralama</t>
  </si>
  <si>
    <t>Mahmud Tahirov</t>
  </si>
  <si>
    <t>Leyla Əliyeva</t>
  </si>
  <si>
    <t>Həmid Məmmədov</t>
  </si>
  <si>
    <t>Gülnarə Allahverdiyeva</t>
  </si>
  <si>
    <t>Əli Mehdiyev</t>
  </si>
  <si>
    <t>Əli Hüseynli</t>
  </si>
  <si>
    <t>Ələkbər Həmzəyev</t>
  </si>
  <si>
    <t>Əhmədxan Salmanov</t>
  </si>
  <si>
    <t>Etibar İmanov</t>
  </si>
  <si>
    <t>Ceyhun Ələsgərov</t>
  </si>
  <si>
    <t>Camal Mirzəyev</t>
  </si>
  <si>
    <t>Balağa Əlikişiyev</t>
  </si>
  <si>
    <t>Azər Hacıyev</t>
  </si>
  <si>
    <t>Anar Allahveriyev</t>
  </si>
  <si>
    <t>LARGE</t>
  </si>
  <si>
    <t>SMALL</t>
  </si>
  <si>
    <r>
      <rPr>
        <b/>
        <sz val="14"/>
        <color theme="1"/>
        <rFont val="Aptos Narrow"/>
        <family val="2"/>
        <scheme val="minor"/>
      </rPr>
      <t xml:space="preserve">Tapşırıq: </t>
    </r>
    <r>
      <rPr>
        <sz val="14"/>
        <color theme="1"/>
        <rFont val="Aptos Narrow"/>
        <family val="2"/>
        <charset val="186"/>
        <scheme val="minor"/>
      </rPr>
      <t>Ən yüksək 3 balın cəmini hesablayın</t>
    </r>
  </si>
  <si>
    <t>SUBTOTAL (9)</t>
  </si>
  <si>
    <t>SUBTOTAL (109)</t>
  </si>
  <si>
    <t>AGGREGATE</t>
  </si>
  <si>
    <t>№</t>
  </si>
  <si>
    <t>ID</t>
  </si>
  <si>
    <t>S.A.A</t>
  </si>
  <si>
    <t>Vəzifə</t>
  </si>
  <si>
    <t>Maaş</t>
  </si>
  <si>
    <t>Yaş</t>
  </si>
  <si>
    <t>İşə giriş tarixi</t>
  </si>
  <si>
    <t>ABC430</t>
  </si>
  <si>
    <t>Mehdiyeva Yeganə İlkin qızı</t>
  </si>
  <si>
    <t>Aparıcı iqtisadçı</t>
  </si>
  <si>
    <t>ABC429</t>
  </si>
  <si>
    <t>Şirinov Cavad Cahangir  oğlu</t>
  </si>
  <si>
    <t>Auditor</t>
  </si>
  <si>
    <t>ABC576</t>
  </si>
  <si>
    <t>Baxşəliyeva Ruhiyyə Etibar qızı</t>
  </si>
  <si>
    <t>Baş auditor</t>
  </si>
  <si>
    <t>ABC470</t>
  </si>
  <si>
    <t>Salmanov Fərahim Əbülfət  oğlu</t>
  </si>
  <si>
    <t>İqtisadçı</t>
  </si>
  <si>
    <t>ABC48</t>
  </si>
  <si>
    <t>Soltanov Məmməd Niyazi  oğlu</t>
  </si>
  <si>
    <t>Arxiv müdiri</t>
  </si>
  <si>
    <t>ABC182</t>
  </si>
  <si>
    <t>Heybətov Qalib Mahir  oğlu</t>
  </si>
  <si>
    <t>Çilingər-santexnik</t>
  </si>
  <si>
    <t>ABC196</t>
  </si>
  <si>
    <t>Hüseynov Seymur Zakir  oğlu</t>
  </si>
  <si>
    <t>Aparıcı mühəndis</t>
  </si>
  <si>
    <t>ABC116</t>
  </si>
  <si>
    <t>Abdullayev Ceyhun Aqadadaş  oğlu</t>
  </si>
  <si>
    <t>Mütəxəssis</t>
  </si>
  <si>
    <t>ABC378</t>
  </si>
  <si>
    <t>Şabiyev Məmmədağa Qurban  oğlu</t>
  </si>
  <si>
    <t>Aparıcı mütəxəssis</t>
  </si>
  <si>
    <t>ABC119</t>
  </si>
  <si>
    <t>Qasımov Rəşad Nadir  oğlu</t>
  </si>
  <si>
    <t>Mühəndis (ətraf mühitin mühafizəsi üzrə)</t>
  </si>
  <si>
    <t>ABC491</t>
  </si>
  <si>
    <t>Fikrətli Rəna Elman qızı</t>
  </si>
  <si>
    <t>ABC123</t>
  </si>
  <si>
    <t>Məmmədova Seyran Rauf qızı</t>
  </si>
  <si>
    <t>Hüquq məsləhətçisi</t>
  </si>
  <si>
    <t>ABC202</t>
  </si>
  <si>
    <t>Hüseynov Rahid Bahadır  oğlu</t>
  </si>
  <si>
    <t>ABC677</t>
  </si>
  <si>
    <t>Hüseynov Mustafa Feyzulla  oğlu</t>
  </si>
  <si>
    <t>ABC4</t>
  </si>
  <si>
    <t>Gözəlova Evqeniya Fəxrəddin qızı</t>
  </si>
  <si>
    <t>Aparıcı mütəxəssis (Şəbəkə inzibatçısı)</t>
  </si>
  <si>
    <t>ABC191</t>
  </si>
  <si>
    <t>Heybətova Aynur Fikrət qızı</t>
  </si>
  <si>
    <t>ABC625</t>
  </si>
  <si>
    <t>Mehtiyev Cəmil Asim  oğlu</t>
  </si>
  <si>
    <t>ABC128</t>
  </si>
  <si>
    <t>Məmmədov Bəhruz Yusif  oğlu</t>
  </si>
  <si>
    <t>Təlim üzrə koordinator</t>
  </si>
  <si>
    <t>ABC488</t>
  </si>
  <si>
    <t>Məmmədova Yaqub Azad qızı</t>
  </si>
  <si>
    <t>ABC33</t>
  </si>
  <si>
    <t>Əlizadə Əminə Ramin qızı</t>
  </si>
  <si>
    <t>Mütəxəssis (Sistem inzibatçısı)</t>
  </si>
  <si>
    <t>ABC289</t>
  </si>
  <si>
    <t>Əliyev Nahid Rafiq  oğlu</t>
  </si>
  <si>
    <t>Mühasib</t>
  </si>
  <si>
    <t>ABC44</t>
  </si>
  <si>
    <t>Zamanlı Nəriman Hümbət  oğlu</t>
  </si>
  <si>
    <t>Aparıcı mütəxəssis - sistem arxitektoru</t>
  </si>
  <si>
    <t>ABC273</t>
  </si>
  <si>
    <t>Fərəməzov Firdovsi Əbdül  oğlu</t>
  </si>
  <si>
    <t>Sənədlərlə iş üzrə mütəxəssis</t>
  </si>
  <si>
    <t>ABC60</t>
  </si>
  <si>
    <t>Əliyeva Zinaida Mobil qızı</t>
  </si>
  <si>
    <t>ABC88</t>
  </si>
  <si>
    <t>Əlizadə Lütfiyyə Emin qızı</t>
  </si>
  <si>
    <t>ABC501</t>
  </si>
  <si>
    <t>Əliyeva İlhamə Rafiq qızı</t>
  </si>
  <si>
    <t>ABC18</t>
  </si>
  <si>
    <t>Veysəlova Nəfisə Rafiq qızı</t>
  </si>
  <si>
    <t>Aparıcı mütəxəssis(Proqram tərtibatçısı)</t>
  </si>
  <si>
    <t>ABC585</t>
  </si>
  <si>
    <t>Bağmanlı Şəhrəbanu Rəşad qızı</t>
  </si>
  <si>
    <t>ABC146</t>
  </si>
  <si>
    <t>Məmmədli Qadir Balaməli  oğlu</t>
  </si>
  <si>
    <t>ABC259</t>
  </si>
  <si>
    <t>Quliyev Əlxan Tofit  oğlu</t>
  </si>
  <si>
    <t>ABC581</t>
  </si>
  <si>
    <t>Kazımov Vilayət Novruz  oğlu</t>
  </si>
  <si>
    <t>ABC233</t>
  </si>
  <si>
    <t>Babayev Barat Məşədibaba  oğlu</t>
  </si>
  <si>
    <t>Texnik</t>
  </si>
  <si>
    <t>ABC284</t>
  </si>
  <si>
    <t>Mürsəlov İbrahim Vaqif  oğlu</t>
  </si>
  <si>
    <t>Departament rəisinin müavini</t>
  </si>
  <si>
    <t>ABC493</t>
  </si>
  <si>
    <t>Ramazanova Simuzər Sənan qızı</t>
  </si>
  <si>
    <t>ABC656</t>
  </si>
  <si>
    <t>Əhmədova Nailə Cavid qızı</t>
  </si>
  <si>
    <t>ABC562</t>
  </si>
  <si>
    <t>Bədəlova Nərgiz Yusif qızı</t>
  </si>
  <si>
    <t>ABC665</t>
  </si>
  <si>
    <t>Musayev Atabala Hüseynağa  oğlu</t>
  </si>
  <si>
    <t>ABC324</t>
  </si>
  <si>
    <t>Musayev Elməddin Balağa  oğlu</t>
  </si>
  <si>
    <t>ABC153</t>
  </si>
  <si>
    <t>Şayxutdinov Mütəllim Telman  oğlu</t>
  </si>
  <si>
    <t>Daxili auditor</t>
  </si>
  <si>
    <t>ABC597</t>
  </si>
  <si>
    <t>Məmmədov Timur Mirzə  oğlu</t>
  </si>
  <si>
    <t>ABC254</t>
  </si>
  <si>
    <t>Aslanov Bəxtiyar Əhməd  oğlu</t>
  </si>
  <si>
    <t>Aparıcı hüquq məsləhətçisi</t>
  </si>
  <si>
    <t>ABC660</t>
  </si>
  <si>
    <t>Qazıbəyov Vüqar Hacıbala  oğlu</t>
  </si>
  <si>
    <t>ABC687</t>
  </si>
  <si>
    <t>Daşdəmirov İbrahim Eyvaz  oğlu</t>
  </si>
  <si>
    <t>ABC399</t>
  </si>
  <si>
    <t>Hacıbalayeva İlqarə Qənimət qızı</t>
  </si>
  <si>
    <t>ABC230</t>
  </si>
  <si>
    <t>Qurbanov Sabir Zabil  oğlu</t>
  </si>
  <si>
    <t>ABC574</t>
  </si>
  <si>
    <t>Yaqubova Şəhla Vüqar qızı</t>
  </si>
  <si>
    <t>ABC577</t>
  </si>
  <si>
    <t>Məmmədova Qənirə İsrafil qızı</t>
  </si>
  <si>
    <t>Mühəndis (sertifikatlaşdırma üzrə)</t>
  </si>
  <si>
    <t>ABC349</t>
  </si>
  <si>
    <t>Qulizadə Dürnisə Hüseyn qızı</t>
  </si>
  <si>
    <t>ABC47</t>
  </si>
  <si>
    <t>Məmmədova Ruqiyyə Elman qızı</t>
  </si>
  <si>
    <t>ABC171</t>
  </si>
  <si>
    <t>Həbibli Kifayət Mahir qızı</t>
  </si>
  <si>
    <t>Referent</t>
  </si>
  <si>
    <t>ABC475</t>
  </si>
  <si>
    <t>Məhərrəmov Şirvani İntizar  oğlu</t>
  </si>
  <si>
    <t>ABC112</t>
  </si>
  <si>
    <t>Məmmədova Səidə Məsum qızı</t>
  </si>
  <si>
    <t>ABC280</t>
  </si>
  <si>
    <t>Rəşidov Vüqar Atabala  oğlu</t>
  </si>
  <si>
    <t>ABC478</t>
  </si>
  <si>
    <t>Səfərli Xəyalə Valeh qızı</t>
  </si>
  <si>
    <t>ABC92</t>
  </si>
  <si>
    <t>Zeynalov Səxavət Qabil  oğlu</t>
  </si>
  <si>
    <t>ABC355</t>
  </si>
  <si>
    <t>İskəndərli Gülnar Tural qızı</t>
  </si>
  <si>
    <t>ABC109</t>
  </si>
  <si>
    <t>İsmayılov Mehman Məhəmməd  oğlu</t>
  </si>
  <si>
    <t>ABC55</t>
  </si>
  <si>
    <t>Kərimov Səftər Səadət  oğlu</t>
  </si>
  <si>
    <t>ABC328</t>
  </si>
  <si>
    <t>Əliyev Mehman Qəzənfər  oğlu</t>
  </si>
  <si>
    <t>ABC466</t>
  </si>
  <si>
    <t>Rəhimli Famil  Elixan  oğlu</t>
  </si>
  <si>
    <t>Gənclərlə iş üzrə koordinator</t>
  </si>
  <si>
    <t>ABC423</t>
  </si>
  <si>
    <t>Əmrahova Mahirə Farid qızı</t>
  </si>
  <si>
    <t>ABC682</t>
  </si>
  <si>
    <t>Əsgərov Coşqun Məhərrəm  oğlu</t>
  </si>
  <si>
    <t>ABC543</t>
  </si>
  <si>
    <t>Əlizadə Nurlana Bilal qızı</t>
  </si>
  <si>
    <t>ABC683</t>
  </si>
  <si>
    <t>Rəcəbov Samir Fazil  oğlu</t>
  </si>
  <si>
    <t>ABC38</t>
  </si>
  <si>
    <t>Əmrahov Ələsgər Xanəhməd  oğlu</t>
  </si>
  <si>
    <t>ABC460</t>
  </si>
  <si>
    <t>Həsənov Həmid Nurxan  oğlu</t>
  </si>
  <si>
    <t>Mütəxəssis (Proqram tərtibatçısı)</t>
  </si>
  <si>
    <t>ABC166</t>
  </si>
  <si>
    <t>Məmmədli Gülnara Musa qızı</t>
  </si>
  <si>
    <t>Koordinator</t>
  </si>
  <si>
    <t>ABC507</t>
  </si>
  <si>
    <t>Zeynallı Cəmalə Əlövsət qızı</t>
  </si>
  <si>
    <t>ABC176</t>
  </si>
  <si>
    <t>Məmmədov Azad Şövqi  oğlu</t>
  </si>
  <si>
    <t>ABC149</t>
  </si>
  <si>
    <t>Gülməmmədov Vasif Bahadur  oğlu</t>
  </si>
  <si>
    <t>ABC129</t>
  </si>
  <si>
    <t>Məmmədov Gündüz Elşad  oğlu</t>
  </si>
  <si>
    <t>ABC482</t>
  </si>
  <si>
    <t>Məmmədrəhimova Ədibə Vüqar qızı</t>
  </si>
  <si>
    <t>ABC606</t>
  </si>
  <si>
    <t>Əhmədova Türkanə Sənan qızı</t>
  </si>
  <si>
    <t>Departament rəisi</t>
  </si>
  <si>
    <t>ABC472</t>
  </si>
  <si>
    <t>Xudiyev Xanməmməd Arif  oğlu</t>
  </si>
  <si>
    <t>ABC525</t>
  </si>
  <si>
    <t>Həsənov Babək Abuzər  oğlu</t>
  </si>
  <si>
    <t>ABC81</t>
  </si>
  <si>
    <t>Babayev Vüqar Rüstəm  oğlu</t>
  </si>
  <si>
    <t>ABC583</t>
  </si>
  <si>
    <t>Əlizadə Şükufə Pərvin qızı</t>
  </si>
  <si>
    <t>ABC565</t>
  </si>
  <si>
    <t>Məlikov Rəfiağa İsmayıl  oğlu</t>
  </si>
  <si>
    <t>ABC68</t>
  </si>
  <si>
    <t>Tağıyev Ramazan Nurəddin  oğlu</t>
  </si>
  <si>
    <t>ABC11</t>
  </si>
  <si>
    <t>İbrahimova Rasimə Hüseyn qızı</t>
  </si>
  <si>
    <t>ABC587</t>
  </si>
  <si>
    <t>Bayramova Ayçiçək Valeh qızı</t>
  </si>
  <si>
    <t>ABC303</t>
  </si>
  <si>
    <t>Osmanov Elçin Şahin  oğlu</t>
  </si>
  <si>
    <t>ABC561</t>
  </si>
  <si>
    <t>Babayeva Ruxsarə Xalıq qızı</t>
  </si>
  <si>
    <t>ABC359</t>
  </si>
  <si>
    <t>Mürsəlova Vəfa Sahib qızı</t>
  </si>
  <si>
    <t>Layihə üzrə koordinator</t>
  </si>
  <si>
    <t>ABC471</t>
  </si>
  <si>
    <t>Abbasov Niyazi Ramiz  oğlu</t>
  </si>
  <si>
    <t>ABC371</t>
  </si>
  <si>
    <t>Mustafayev İsrafil Ramazan  oğlu</t>
  </si>
  <si>
    <t>ABC352</t>
  </si>
  <si>
    <t>Səfərli Həqiqət Tərlan qızı</t>
  </si>
  <si>
    <t>ABC133</t>
  </si>
  <si>
    <t>Baxşəliyeva Gülay Ülfət qızı</t>
  </si>
  <si>
    <t>ABC49</t>
  </si>
  <si>
    <t>İsmayılov Elman Nadir  oğlu</t>
  </si>
  <si>
    <t>ABC8</t>
  </si>
  <si>
    <t>Təhməzova Sayalı Rasim qızı</t>
  </si>
  <si>
    <t>ABC264</t>
  </si>
  <si>
    <t>Bağırov Muxtar Mirzəhəsən  oğlu</t>
  </si>
  <si>
    <t>ABC436</t>
  </si>
  <si>
    <t>Maksumova Akifə Zamin qızı</t>
  </si>
  <si>
    <t>ABC452</t>
  </si>
  <si>
    <t>Məhərrəmli Məlahət Emin qızı</t>
  </si>
  <si>
    <t>ABC67</t>
  </si>
  <si>
    <t>Şükürov Vurğun İmran  oğlu</t>
  </si>
  <si>
    <t>ABC209</t>
  </si>
  <si>
    <t>Həbibli Kamran Məhəbbət  oğlu</t>
  </si>
  <si>
    <t>ABC340</t>
  </si>
  <si>
    <t>Xudiyev Telman Afət  oğlu</t>
  </si>
  <si>
    <t>ABC97</t>
  </si>
  <si>
    <t>Aslanlı Samirə Süleyman qızı</t>
  </si>
  <si>
    <t>ABC181</t>
  </si>
  <si>
    <t>İbrahimova Adilə Rövşən qızı</t>
  </si>
  <si>
    <t>ABC553</t>
  </si>
  <si>
    <t>Həsənov Ramil Şircavan  oğlu</t>
  </si>
  <si>
    <t>ABC416</t>
  </si>
  <si>
    <t>Həsənov Şahvələd Ağa  oğlu</t>
  </si>
  <si>
    <t>ABC110</t>
  </si>
  <si>
    <t>Əsədov İlkin Həmizə  oğlu</t>
  </si>
  <si>
    <t>ABC258</t>
  </si>
  <si>
    <t>Qafarlı Şölə Ağalar qızı</t>
  </si>
  <si>
    <t>ABC161</t>
  </si>
  <si>
    <t>Məhərrəmli Zülfiyyə Əsgər qızı</t>
  </si>
  <si>
    <t>ABC504</t>
  </si>
  <si>
    <t>Ramazanov Telman Müqabil  oğlu</t>
  </si>
  <si>
    <t>ABC72</t>
  </si>
  <si>
    <t>Məmmədov Kamal Adil  oğlu</t>
  </si>
  <si>
    <t>ABC42</t>
  </si>
  <si>
    <t>Əliyev Müntəzir Mürvət  oğlu</t>
  </si>
  <si>
    <t>ABC203</t>
  </si>
  <si>
    <t>Ömərova Məryəm İlkin qızı</t>
  </si>
  <si>
    <t>ABC354</t>
  </si>
  <si>
    <t>Şahbudaqova Nailə Vahid qızı</t>
  </si>
  <si>
    <t>ABC297</t>
  </si>
  <si>
    <t>Budaqlı Minurə Ramiz qızı</t>
  </si>
  <si>
    <t>ABC641</t>
  </si>
  <si>
    <t>Əkbərova Səbinə Naib qızı</t>
  </si>
  <si>
    <t>ABC650</t>
  </si>
  <si>
    <t>Abbasova Gülxanım Məmmədbağır qızı</t>
  </si>
  <si>
    <t>ABC46</t>
  </si>
  <si>
    <t>İsmayılova Afət Nicat qızı</t>
  </si>
  <si>
    <t>ABC279</t>
  </si>
  <si>
    <t>Şəmmədov Murad İslam  oğlu</t>
  </si>
  <si>
    <t>ABC334</t>
  </si>
  <si>
    <t>Baxışlı Ağca Rövşən qızı</t>
  </si>
  <si>
    <t>ABC309</t>
  </si>
  <si>
    <t>Abdullayev Əliməmməd Əli  oğlu</t>
  </si>
  <si>
    <t>ABC323</t>
  </si>
  <si>
    <t>Fatxudinov Gülağa Fərzəmalı  oğlu</t>
  </si>
  <si>
    <t>ABC238</t>
  </si>
  <si>
    <t>Şiriyev Tahir Mirfərman  oğlu</t>
  </si>
  <si>
    <t>ABC329</t>
  </si>
  <si>
    <t>Rəhimov Mirəli Namaz  oğlu</t>
  </si>
  <si>
    <t>ABC179</t>
  </si>
  <si>
    <t>Əzizova Ofeliya Elvin qızı</t>
  </si>
  <si>
    <t>ABC663</t>
  </si>
  <si>
    <t>Tağıyev Yaqub Əvəz  oğlu</t>
  </si>
  <si>
    <t>ABC39</t>
  </si>
  <si>
    <t>Novruzov Cümşüd Abdulhəmid  oğlu</t>
  </si>
  <si>
    <t>ABC477</t>
  </si>
  <si>
    <t>Hüseynova Mehin Aqil qızı</t>
  </si>
  <si>
    <t>ABC269</t>
  </si>
  <si>
    <t>İmanov Tahir Rəhim  oğlu</t>
  </si>
  <si>
    <t>ABC199</t>
  </si>
  <si>
    <t>Məhərrəmli Əcəbnaz Kamil qızı</t>
  </si>
  <si>
    <t>ABC52</t>
  </si>
  <si>
    <t>Hüseynova Ülviyyə Cəmil qızı</t>
  </si>
  <si>
    <t>ABC644</t>
  </si>
  <si>
    <t>Abbasova Tamilla Məmmədbağır qızı</t>
  </si>
  <si>
    <t>ABC351</t>
  </si>
  <si>
    <t>Osmanlı Fatma Bəxtiyar qızı</t>
  </si>
  <si>
    <t>ABC322</t>
  </si>
  <si>
    <t>Abbasov Elmar Rəcəb  oğlu</t>
  </si>
  <si>
    <t>ABC302</t>
  </si>
  <si>
    <t>Mecidov Etibar Mirzə  oğlu</t>
  </si>
  <si>
    <t>ABC645</t>
  </si>
  <si>
    <t>Rəsulov Rauf Adil  oğlu</t>
  </si>
  <si>
    <t>ABC519</t>
  </si>
  <si>
    <t>İsmayılova Səadət Yaşar qızı</t>
  </si>
  <si>
    <t>ABC142</t>
  </si>
  <si>
    <t>Lətifov Arif Müqəddəs  oğlu</t>
  </si>
  <si>
    <t>ABC636</t>
  </si>
  <si>
    <t>İsmayılov Taleh Şaəli  oğlu</t>
  </si>
  <si>
    <t>ABC591</t>
  </si>
  <si>
    <t>Təhməzov Əhməd Ağa  oğlu</t>
  </si>
  <si>
    <t>ABC321</t>
  </si>
  <si>
    <t>Mazanov Elxan Əsgər  oğlu</t>
  </si>
  <si>
    <t>ABC103</t>
  </si>
  <si>
    <t>Əsədli Rəxşəndə Sahib qızı</t>
  </si>
  <si>
    <t>ABC332</t>
  </si>
  <si>
    <t>İsmayılov Ramiz Adil  oğlu</t>
  </si>
  <si>
    <t>ABC483</t>
  </si>
  <si>
    <t>Əşrəfova Səadət Kamil qızı</t>
  </si>
  <si>
    <t>ABC130</t>
  </si>
  <si>
    <t>Fərəcova Sabirə Ramil qızı</t>
  </si>
  <si>
    <t>ABC227</t>
  </si>
  <si>
    <t>Kərimova Fənarə Mayis qızı</t>
  </si>
  <si>
    <t>ABC250</t>
  </si>
  <si>
    <t>Qurbanov Rusif Tofiq  oğlu</t>
  </si>
  <si>
    <t>ABC283</t>
  </si>
  <si>
    <t>Gözəlov Həsən Ağacan  oğlu</t>
  </si>
  <si>
    <t>ABC628</t>
  </si>
  <si>
    <t>Əlizadə Nazimə Vaqif qızı</t>
  </si>
  <si>
    <t>ABC69</t>
  </si>
  <si>
    <t>Məmmədova Rəna Yusif qızı</t>
  </si>
  <si>
    <t>ABC192</t>
  </si>
  <si>
    <t>Həmidov Orduxan Rəşid  oğlu</t>
  </si>
  <si>
    <t>ABC556</t>
  </si>
  <si>
    <t>Vəliyev Qulam Oktay  oğlu</t>
  </si>
  <si>
    <t>ABC603</t>
  </si>
  <si>
    <t>Qurbanov Həbib Ağamalı  oğlu</t>
  </si>
  <si>
    <t>ABC73</t>
  </si>
  <si>
    <t>Cəlilova Zərif Səməd qızı</t>
  </si>
  <si>
    <t>ABC210</t>
  </si>
  <si>
    <t>Ağayev Mətləb Güloğlan  oğlu</t>
  </si>
  <si>
    <t>ABC369</t>
  </si>
  <si>
    <t>Babayeva Hicran İlqar qızı</t>
  </si>
  <si>
    <t>ABC620</t>
  </si>
  <si>
    <t>Mahmudov Elşad Xanəli  oğlu</t>
  </si>
  <si>
    <t>ABC688</t>
  </si>
  <si>
    <t>Apatonov Elman Alik  oğlu</t>
  </si>
  <si>
    <t>ABC600</t>
  </si>
  <si>
    <t>Alıyev Ehtibar Oktay  oğlu</t>
  </si>
  <si>
    <t>ABC248</t>
  </si>
  <si>
    <t>Ələkbərov Anar Rizvan  oğlu</t>
  </si>
  <si>
    <t>ABC357</t>
  </si>
  <si>
    <t>Ələkbərov Fəzail Nurməmməd  oğlu</t>
  </si>
  <si>
    <t>ABC267</t>
  </si>
  <si>
    <t>Tanırverdiyeva Zəminə Teymur qızı</t>
  </si>
  <si>
    <t>ABC540</t>
  </si>
  <si>
    <t>Ömərova Xalidə Rahid qızı</t>
  </si>
  <si>
    <t>ABC651</t>
  </si>
  <si>
    <t>Süleymanova Afaq İlqar qızı</t>
  </si>
  <si>
    <t>ABC448</t>
  </si>
  <si>
    <t>Axundov Fəzail Cabir  oğlu</t>
  </si>
  <si>
    <t>ABC293</t>
  </si>
  <si>
    <t>Hüseynov Mirzə Musa  oğlu</t>
  </si>
  <si>
    <t>ABC261</t>
  </si>
  <si>
    <t>Veysəlova Rübabə Elman qızı</t>
  </si>
  <si>
    <t>ABC685</t>
  </si>
  <si>
    <t>Həsənov Namiq Qəmbər  oğlu</t>
  </si>
  <si>
    <t>ABC304</t>
  </si>
  <si>
    <t>Səidova Nərgiz Akif qızı</t>
  </si>
  <si>
    <t>ABC465</t>
  </si>
  <si>
    <t>Həsənov Murad Şahin  oğlu</t>
  </si>
  <si>
    <t>ABC94</t>
  </si>
  <si>
    <t>Şərifova Rəmziyyə Mahir qızı</t>
  </si>
  <si>
    <t>ABC437</t>
  </si>
  <si>
    <t>Köçəriyev Namik Məmmədhüseyn  oğlu</t>
  </si>
  <si>
    <t>ABC410</t>
  </si>
  <si>
    <t>Dadaşova Cəmilə Xəqani qızı</t>
  </si>
  <si>
    <t>Aparıcı mühasib</t>
  </si>
  <si>
    <t>ABC22</t>
  </si>
  <si>
    <t>Əmbiyeva Sənubər Elvin qızı</t>
  </si>
  <si>
    <t>ABC458</t>
  </si>
  <si>
    <t>Məmmədova Ceyla Əflatun qızı</t>
  </si>
  <si>
    <t>ABC70</t>
  </si>
  <si>
    <t>Qarayeva Zinaida Rəşad qızı</t>
  </si>
  <si>
    <t>ABC65</t>
  </si>
  <si>
    <t>Niyazlı Seymur Osman  oğlu</t>
  </si>
  <si>
    <t>ABC154</t>
  </si>
  <si>
    <t>Rizvanova Təhminə Yaşar qızı</t>
  </si>
  <si>
    <t>ABC605</t>
  </si>
  <si>
    <t>İbrahimova Fəridə Mübariz qızı</t>
  </si>
  <si>
    <t>ABC503</t>
  </si>
  <si>
    <t>Kərimov Arif Yaqub  oğlu</t>
  </si>
  <si>
    <t>ABC124</t>
  </si>
  <si>
    <t>Ədilov Sovqat Rafiq  oğlu</t>
  </si>
  <si>
    <t>ABC489</t>
  </si>
  <si>
    <t>Əhmədova Mehriban Süleyman qızı</t>
  </si>
  <si>
    <t>ABC10</t>
  </si>
  <si>
    <t>Quliyev Azər Rafiq  oğlu</t>
  </si>
  <si>
    <t>ABC288</t>
  </si>
  <si>
    <t>Nərimanlı Nuray Ramin qızı</t>
  </si>
  <si>
    <t>ABC184</t>
  </si>
  <si>
    <t>Şahvələdova Sitarə Rüstəm qızı</t>
  </si>
  <si>
    <t>ABC106</t>
  </si>
  <si>
    <t>Əhmədova Ramilə Tibilisxan qızı</t>
  </si>
  <si>
    <t>ABC534</t>
  </si>
  <si>
    <t>Mirzəcanova Solmaz Hicran qızı</t>
  </si>
  <si>
    <t>ABC225</t>
  </si>
  <si>
    <t>Mənsimova Məlahət Akif qızı</t>
  </si>
  <si>
    <t>ABC537</t>
  </si>
  <si>
    <t>İbrahimov Əyanət Məmmədhüseyn  oğlu</t>
  </si>
  <si>
    <t>ABC350</t>
  </si>
  <si>
    <t>Ağakişiyev Teymur Hidayət  oğlu</t>
  </si>
  <si>
    <t>ABC387</t>
  </si>
  <si>
    <t>Əhmədov Əhliman Abı  oğlu</t>
  </si>
  <si>
    <t>ABC384</t>
  </si>
  <si>
    <t>Babayev Savad Şahab  oğlu</t>
  </si>
  <si>
    <t>ABC638</t>
  </si>
  <si>
    <t>Əzizov Aydın Zöhrab  oğlu</t>
  </si>
  <si>
    <t>ABC601</t>
  </si>
  <si>
    <t>Məmmədova Zeynəgül Fizuli qızı</t>
  </si>
  <si>
    <t>ABC211</t>
  </si>
  <si>
    <t>Veysəlova Pərvanə Emil qızı</t>
  </si>
  <si>
    <t>ABC560</t>
  </si>
  <si>
    <t>Məmmədov Elnur Vəli  oğlu</t>
  </si>
  <si>
    <t>ABC652</t>
  </si>
  <si>
    <t>Əsədli Vüsalə Aqşin qızı</t>
  </si>
  <si>
    <t>ABC459</t>
  </si>
  <si>
    <t>Mahmudov Viktor Mirəli  oğlu</t>
  </si>
  <si>
    <t>ABC598</t>
  </si>
  <si>
    <t>Səttərova Esmira Sərdar qızı</t>
  </si>
  <si>
    <t>ABC469</t>
  </si>
  <si>
    <t>Babaşova Zəhra Elbəy qızı</t>
  </si>
  <si>
    <t>ABC299</t>
  </si>
  <si>
    <t>Həsənli Mehbarə Azad qızı</t>
  </si>
  <si>
    <t>ABC218</t>
  </si>
  <si>
    <t>Cabbarov Əmin Aslan  oğlu</t>
  </si>
  <si>
    <t>ABC228</t>
  </si>
  <si>
    <t>Niyazlı Kəmalə Zamin qızı</t>
  </si>
  <si>
    <t>ABC391</t>
  </si>
  <si>
    <t>Hüseynov Hilal İrşad  oğlu</t>
  </si>
  <si>
    <t>ABC629</t>
  </si>
  <si>
    <t>Taharov Müzəffər Pörüz  oğlu</t>
  </si>
  <si>
    <t>ABC518</t>
  </si>
  <si>
    <t>Rasulova Şahnaz İslam qızı</t>
  </si>
  <si>
    <t>ABC180</t>
  </si>
  <si>
    <t>Şirinov Əlihüseyn Əlihüseyn  oğlu</t>
  </si>
  <si>
    <t>ABC338</t>
  </si>
  <si>
    <t>Osmanova Təranə Elxan qızı</t>
  </si>
  <si>
    <t>ABC634</t>
  </si>
  <si>
    <t>Quliyeva Ayla İntiqam qızı</t>
  </si>
  <si>
    <t>ABC200</t>
  </si>
  <si>
    <t>Məmmədova Seyran Suməli qızı</t>
  </si>
  <si>
    <t>ABC545</t>
  </si>
  <si>
    <t>Zərbiyev İbiş Əvəz  oğlu</t>
  </si>
  <si>
    <t>ABC117</t>
  </si>
  <si>
    <t>Əsədli Asif Aydın  oğlu</t>
  </si>
  <si>
    <t>ABC145</t>
  </si>
  <si>
    <t>Şahmarova Laçın Orxan qızı</t>
  </si>
  <si>
    <t>ABC661</t>
  </si>
  <si>
    <t>Qurbanov Rəşad Məqsəd  oğlu</t>
  </si>
  <si>
    <t>ABC502</t>
  </si>
  <si>
    <t>Əzizova Fizzə Yaşar qızı</t>
  </si>
  <si>
    <t>ABC388</t>
  </si>
  <si>
    <t>Babayev Şahin  Zakir  oğlu</t>
  </si>
  <si>
    <t>ABC422</t>
  </si>
  <si>
    <t>Hüseynov Hilal Xanlar  oğlu</t>
  </si>
  <si>
    <t>ABC66</t>
  </si>
  <si>
    <t>Sadıqova Mərziyyə Samir qızı</t>
  </si>
  <si>
    <t>ABC557</t>
  </si>
  <si>
    <t>Cəlilzadə Xədicə Möhübbət qızı</t>
  </si>
  <si>
    <t>ABC510</t>
  </si>
  <si>
    <t>Ağayarlı Gülnur Ramiz qızı</t>
  </si>
  <si>
    <t>ABC246</t>
  </si>
  <si>
    <t>Fərzəliyev Ələsgər Elbayaz  oğlu</t>
  </si>
  <si>
    <t>ABC255</t>
  </si>
  <si>
    <t>Dadaşov Məhərrəm Əlimirzə  oğlu</t>
  </si>
  <si>
    <t>ABC580</t>
  </si>
  <si>
    <t>Rəhimli Anar Əhəd  oğlu</t>
  </si>
  <si>
    <t>ABC635</t>
  </si>
  <si>
    <t>Ağarəhimov Anar Əliabbas  oğlu</t>
  </si>
  <si>
    <t>ABC508</t>
  </si>
  <si>
    <t>Kərimli Xalidə Rəşad qızı</t>
  </si>
  <si>
    <t>ABC365</t>
  </si>
  <si>
    <t>Əliyeva Dilşad Rahid qızı</t>
  </si>
  <si>
    <t>ABC286</t>
  </si>
  <si>
    <t>Cəlilov Qalamirzə Abbas  oğlu</t>
  </si>
  <si>
    <t>ABC295</t>
  </si>
  <si>
    <t>Bəşirov Mətləb Bayram  oğlu</t>
  </si>
  <si>
    <t>ABC226</t>
  </si>
  <si>
    <t>Hüseynov İntiqam Fəryaz  oğlu</t>
  </si>
  <si>
    <t>ABC76</t>
  </si>
  <si>
    <t>Nəsrullayev Mahir Balaxan  oğlu</t>
  </si>
  <si>
    <t>ABC418</t>
  </si>
  <si>
    <t>Xudaverdiyev Dünyamalı Ələmdar  oğlu</t>
  </si>
  <si>
    <t>ABC140</t>
  </si>
  <si>
    <t>Gözəlova İlhamə Əfqan qızı</t>
  </si>
  <si>
    <t>ABC13</t>
  </si>
  <si>
    <t>Quliyev Elgün Hacnəzər  oğlu</t>
  </si>
  <si>
    <t>ABC417</t>
  </si>
  <si>
    <t>Hümbətli Pəri Fariz qızı</t>
  </si>
  <si>
    <t>ABC433</t>
  </si>
  <si>
    <t>İbadov Məmməd Əkbər  oğlu</t>
  </si>
  <si>
    <t>ABC468</t>
  </si>
  <si>
    <t>Mirzoyeva Laçın Vidadi qızı</t>
  </si>
  <si>
    <t>ABC223</t>
  </si>
  <si>
    <t>Rzayev Sübhan Novruz  oğlu</t>
  </si>
  <si>
    <t>ABC12</t>
  </si>
  <si>
    <t>Hüseynova Ağca Nəsimi qızı</t>
  </si>
  <si>
    <t>ABC278</t>
  </si>
  <si>
    <t>Əsgərova Tükəzban Xeybər qızı</t>
  </si>
  <si>
    <t>ABC339</t>
  </si>
  <si>
    <t>Həmidova Ceyla Rəmiş qızı</t>
  </si>
  <si>
    <t>ABC438</t>
  </si>
  <si>
    <t>Babayev Nurulla Əbülfət  oğlu</t>
  </si>
  <si>
    <t>ABC300</t>
  </si>
  <si>
    <t>Səmədli Nərminə Mirzə qızı</t>
  </si>
  <si>
    <t>ABC310</t>
  </si>
  <si>
    <t>Allahyarova Ballı Cavid qızı</t>
  </si>
  <si>
    <t>ABC542</t>
  </si>
  <si>
    <t>Nərimanlı Aysel Rövşən qızı</t>
  </si>
  <si>
    <t>ABC681</t>
  </si>
  <si>
    <t>Məmmədli Laləzar Eyyub qızı</t>
  </si>
  <si>
    <t>ABC484</t>
  </si>
  <si>
    <t>Soltanov Vaqif Niftulla  oğlu</t>
  </si>
  <si>
    <t>ABC336</t>
  </si>
  <si>
    <t>Əliyev Kamran Nizam  oğlu</t>
  </si>
  <si>
    <t>ABC234</t>
  </si>
  <si>
    <t>Əlizadə Ülkər Sənan qızı</t>
  </si>
  <si>
    <t>ABC325</t>
  </si>
  <si>
    <t>Dünyamalıyev İlham Abdulla  oğlu</t>
  </si>
  <si>
    <t>ABC40</t>
  </si>
  <si>
    <t>Mirzoyeva Kamilə İbrahim qızı</t>
  </si>
  <si>
    <t>ABC455</t>
  </si>
  <si>
    <t>Qafarova Təranə Nəsimi qızı</t>
  </si>
  <si>
    <t>ABC158</t>
  </si>
  <si>
    <t>Quliyeva Çinarə İntizar qızı</t>
  </si>
  <si>
    <t>ABC684</t>
  </si>
  <si>
    <t>Qafarov Cəlal Sami  oğlu</t>
  </si>
  <si>
    <t>ABC75</t>
  </si>
  <si>
    <t>Məşədiyeva Tatyana Rafiq qızı</t>
  </si>
  <si>
    <t>ABC432</t>
  </si>
  <si>
    <t>Maksumova Sima Zöhrab qızı</t>
  </si>
  <si>
    <t>ABC569</t>
  </si>
  <si>
    <t>Çərkəzli Əntiqə Hüseyn qızı</t>
  </si>
  <si>
    <t>ABC315</t>
  </si>
  <si>
    <t>Ağayarlı Təranə Eldar qızı</t>
  </si>
  <si>
    <t>ABC372</t>
  </si>
  <si>
    <t>İbrahimli Azadə Mübariz qızı</t>
  </si>
  <si>
    <t>ABC457</t>
  </si>
  <si>
    <t>Məhərrəmli Sevinc Mütəllim qızı</t>
  </si>
  <si>
    <t>ABC317</t>
  </si>
  <si>
    <t>İmanov Taleh Əmir  oğlu</t>
  </si>
  <si>
    <t>ABC275</t>
  </si>
  <si>
    <t>Əhmədova Vəfa İmam qızı</t>
  </si>
  <si>
    <t>ABC571</t>
  </si>
  <si>
    <t>Məmmədova Mahizər Eldar qızı</t>
  </si>
  <si>
    <t>ABC622</t>
  </si>
  <si>
    <t>Qabulov Aqil Tahir  oğlu</t>
  </si>
  <si>
    <t>ABC122</t>
  </si>
  <si>
    <t>Eminov Sənan Ağacan  oğlu</t>
  </si>
  <si>
    <t>ABC521</t>
  </si>
  <si>
    <t>Həsənova Gülşən Nəsimi qızı</t>
  </si>
  <si>
    <t>ABC118</t>
  </si>
  <si>
    <t>Abdullayev Əfsər Qəşəm  oğlu</t>
  </si>
  <si>
    <t>ABC207</t>
  </si>
  <si>
    <t>Məmmədov Zərdüşt Rəsul  oğlu</t>
  </si>
  <si>
    <t>ABC623</t>
  </si>
  <si>
    <t>Məmmədov Asəf Məcnun  oğlu</t>
  </si>
  <si>
    <t>ABC500</t>
  </si>
  <si>
    <t>İbrahimov Dursun Qulu  oğlu</t>
  </si>
  <si>
    <t>ABC175</t>
  </si>
  <si>
    <t>Ədilova Züleyxa Vüqar qızı</t>
  </si>
  <si>
    <t>ABC9</t>
  </si>
  <si>
    <t>İsmayılov Cavan Xəlil  oğlu</t>
  </si>
  <si>
    <t>ABC170</t>
  </si>
  <si>
    <t>Abdullayev Hüseyn Sübhan  oğlu</t>
  </si>
  <si>
    <t>ABC396</t>
  </si>
  <si>
    <t>Qədirli Mənsurə Camal qızı</t>
  </si>
  <si>
    <t>ABC627</t>
  </si>
  <si>
    <t>Həşimova Rübeyda Süleyman qızı</t>
  </si>
  <si>
    <t>ABC74</t>
  </si>
  <si>
    <t>Yusifov Şahsuvar Bayram  oğlu</t>
  </si>
  <si>
    <t>ABC588</t>
  </si>
  <si>
    <t>Qüdrətov Şamil Məlik  oğlu</t>
  </si>
  <si>
    <t>ABC425</t>
  </si>
  <si>
    <t>Əliyeva Rəxşəndə Eyyub qızı</t>
  </si>
  <si>
    <t>ABC262</t>
  </si>
  <si>
    <t>Hüseynli Samir Məzahir  oğlu</t>
  </si>
  <si>
    <t>ABC213</t>
  </si>
  <si>
    <t>Tarverdiyev Ramiz Teyfur  oğlu</t>
  </si>
  <si>
    <t>ABC353</t>
  </si>
  <si>
    <t>Aslanova Şəmsiyyə Çingiz qızı</t>
  </si>
  <si>
    <t>ABC485</t>
  </si>
  <si>
    <t>Axundov Vazeh Məmməd  oğlu</t>
  </si>
  <si>
    <t>ABC490</t>
  </si>
  <si>
    <t>Hacıyeva Günel Xəyyam qızı</t>
  </si>
  <si>
    <t>ABC20</t>
  </si>
  <si>
    <t>Əliyeva Səadət Akif qızı</t>
  </si>
  <si>
    <t>ABC195</t>
  </si>
  <si>
    <t>Həşimov Asif Hidayət  oğlu</t>
  </si>
  <si>
    <t>ABC244</t>
  </si>
  <si>
    <t>Təhməzova Samirə Vasif qızı</t>
  </si>
  <si>
    <t>ABC101</t>
  </si>
  <si>
    <t>İmanova Ceyla İsmət qızı</t>
  </si>
  <si>
    <t>ABC445</t>
  </si>
  <si>
    <t>Rzaquliyev Rəşad Sahib  oğlu</t>
  </si>
  <si>
    <t>ABC453</t>
  </si>
  <si>
    <t>Məmmədova Aybəniz Maris qızı</t>
  </si>
  <si>
    <t>ABC28</t>
  </si>
  <si>
    <t>Abdullayev Rəsul Məhəmmədağa  oğlu</t>
  </si>
  <si>
    <t>ABC527</t>
  </si>
  <si>
    <t>Hüseynli Röyal Qasım qızı</t>
  </si>
  <si>
    <t>ABC462</t>
  </si>
  <si>
    <t>Əkbərli Bəylər Əlixan  oğlu</t>
  </si>
  <si>
    <t>ABC135</t>
  </si>
  <si>
    <t>Məmmədli Rabil Əmiraslan  oğlu</t>
  </si>
  <si>
    <t>ABC308</t>
  </si>
  <si>
    <t>Mirzoyeva Asilə Xəyal qızı</t>
  </si>
  <si>
    <t>ABC524</t>
  </si>
  <si>
    <t>Kərimov Tural Tofiq  oğlu</t>
  </si>
  <si>
    <t>ABC37</t>
  </si>
  <si>
    <t>Zeynalov Vüsal Calal  oğlu</t>
  </si>
  <si>
    <t>ABC381</t>
  </si>
  <si>
    <t>Həsənli Esmira İbrahim qızı</t>
  </si>
  <si>
    <t>ABC281</t>
  </si>
  <si>
    <t>Teymurov Tural Tofiq  oğlu</t>
  </si>
  <si>
    <t>ABC509</t>
  </si>
  <si>
    <t>Həsənli Əsgər Gülmalı  oğlu</t>
  </si>
  <si>
    <t>ABC318</t>
  </si>
  <si>
    <t>Nəsibova Fatihə Rəhman qızı</t>
  </si>
  <si>
    <t>ABC43</t>
  </si>
  <si>
    <t>Cəlilzadə Qızbəs İbrahim qızı</t>
  </si>
  <si>
    <t>ABC529</t>
  </si>
  <si>
    <t>Sadıqova Gültac Ramin qızı</t>
  </si>
  <si>
    <t>ABC30</t>
  </si>
  <si>
    <t>Həsənli Jalə Fərid qızı</t>
  </si>
  <si>
    <t>ABC239</t>
  </si>
  <si>
    <t>Kərimli Asilə Yaşar qızı</t>
  </si>
  <si>
    <t>ABC5</t>
  </si>
  <si>
    <t>Nəcəfquluyev Xəlil Mustafa  oğlu</t>
  </si>
  <si>
    <t>ABC147</t>
  </si>
  <si>
    <t>İsakova Gülzar Siyasət qızı</t>
  </si>
  <si>
    <t>ABC132</t>
  </si>
  <si>
    <t>Abasova Sevda Zəfər qızı</t>
  </si>
  <si>
    <t>ABC360</t>
  </si>
  <si>
    <t>Hümbətova Sacidə Emin qızı</t>
  </si>
  <si>
    <t>ABC312</t>
  </si>
  <si>
    <t>Əlibəyov Bəhram Eyvaz  oğlu</t>
  </si>
  <si>
    <t>ABC90</t>
  </si>
  <si>
    <t>Güləlizadə Şəmsiyyə Mübariz qızı</t>
  </si>
  <si>
    <t>ABC578</t>
  </si>
  <si>
    <t>Bəşirov Fəyyaz Beybala  oğlu</t>
  </si>
  <si>
    <t>ABC80</t>
  </si>
  <si>
    <t>Salamova Güllər Əlizamin qızı</t>
  </si>
  <si>
    <t>ABC397</t>
  </si>
  <si>
    <t>Zahidov Yaşar Cankişi  oğlu</t>
  </si>
  <si>
    <t>ABC29</t>
  </si>
  <si>
    <t>Əsgərov Nihad Həmid  oğlu</t>
  </si>
  <si>
    <t>ABC253</t>
  </si>
  <si>
    <t>Əliyev Cavid Məşgül  oğlu</t>
  </si>
  <si>
    <t>ABC657</t>
  </si>
  <si>
    <t>Mirzəxanov Zaur Xudaverdi  oğlu</t>
  </si>
  <si>
    <t>ABC99</t>
  </si>
  <si>
    <t>Hüseynov Hafiz Fərəc  oğlu</t>
  </si>
  <si>
    <t>ABC290</t>
  </si>
  <si>
    <t>Muradov Zəki Yəhya  oğlu</t>
  </si>
  <si>
    <t>ABC674</t>
  </si>
  <si>
    <t>Budaqlı Nuray Sənan qızı</t>
  </si>
  <si>
    <t>ABC362</t>
  </si>
  <si>
    <t>Aydəmirov Balaoğlan Şürəddin  oğlu</t>
  </si>
  <si>
    <t>ABC520</t>
  </si>
  <si>
    <t>Sadıqov Elsevər Əli  oğlu</t>
  </si>
  <si>
    <t>ABC242</t>
  </si>
  <si>
    <t>Əliyeva Çiçək Hikmət qızı</t>
  </si>
  <si>
    <t>ABC440</t>
  </si>
  <si>
    <t>Səidova Sədaqət Abasağa qızı</t>
  </si>
  <si>
    <t>ABC379</t>
  </si>
  <si>
    <t>Ağayev Firdovsi Əzizağa  oğlu</t>
  </si>
  <si>
    <t>ABC383</t>
  </si>
  <si>
    <t>Salamova Sənubər Ceyhun qızı</t>
  </si>
  <si>
    <t>ABC464</t>
  </si>
  <si>
    <t>Abbasov Səbuhi Vasif  oğlu</t>
  </si>
  <si>
    <t>ABC567</t>
  </si>
  <si>
    <t>Kərimov Şamxal Sumbat  oğlu</t>
  </si>
  <si>
    <t>ABC291</t>
  </si>
  <si>
    <t>Əbilov Hacıbala Firdovsi  oğlu</t>
  </si>
  <si>
    <t>ABC648</t>
  </si>
  <si>
    <t>Hacıyeva Sürəyyə Mübariz qızı</t>
  </si>
  <si>
    <t>ABC190</t>
  </si>
  <si>
    <t>Beydullayev Abbas Şamxal  oğlu</t>
  </si>
  <si>
    <t>ABC373</t>
  </si>
  <si>
    <t>Nəzərov Elşən Bünyamin  oğlu</t>
  </si>
  <si>
    <t>ABC609</t>
  </si>
  <si>
    <t>Əkbərov Vəli Oruc  oğlu</t>
  </si>
  <si>
    <t>ABC240</t>
  </si>
  <si>
    <t>Allahverdiyev Emil Həsən  oğlu</t>
  </si>
  <si>
    <t>ABC125</t>
  </si>
  <si>
    <t>Səfərov Pənah Ələkbər  oğlu</t>
  </si>
  <si>
    <t>ABC544</t>
  </si>
  <si>
    <t>Babayev Osman Hacı  oğlu</t>
  </si>
  <si>
    <t>ABC120</t>
  </si>
  <si>
    <t>Bədəlova Rəsmiyyə Allahverdi qızı</t>
  </si>
  <si>
    <t>ABC679</t>
  </si>
  <si>
    <t>Hüseynov Sudeif Abbas  oğlu</t>
  </si>
  <si>
    <t>ABC451</t>
  </si>
  <si>
    <t>Məmmədov Əziz Nurəddin  oğlu</t>
  </si>
  <si>
    <t>ABC320</t>
  </si>
  <si>
    <t>Əskərov Anar Həsən  oğlu</t>
  </si>
  <si>
    <t>ABC411</t>
  </si>
  <si>
    <t>Ağayeva Solmaz Samir qızı</t>
  </si>
  <si>
    <t>ABC187</t>
  </si>
  <si>
    <t>Əhmədova Leyli Əkbər qızı</t>
  </si>
  <si>
    <t>ABC554</t>
  </si>
  <si>
    <t>İbrahimova Gülnarə Niyaz qızı</t>
  </si>
  <si>
    <t>ABC159</t>
  </si>
  <si>
    <t>Ələsgərov Əflatun Qurban  oğlu</t>
  </si>
  <si>
    <t>ABC63</t>
  </si>
  <si>
    <t>Eminova Leyli Turan qızı</t>
  </si>
  <si>
    <t>ABC282</t>
  </si>
  <si>
    <t>Əhmədova İnarə Araz qızı</t>
  </si>
  <si>
    <t>ABC533</t>
  </si>
  <si>
    <t>Dünyamalı Səmayə Mahir qızı</t>
  </si>
  <si>
    <t>ABC272</t>
  </si>
  <si>
    <t>Abbasov Rəşid Fazil  oğlu</t>
  </si>
  <si>
    <t>ABC389</t>
  </si>
  <si>
    <t>Həsənov Namiq Sədulla  oğlu</t>
  </si>
  <si>
    <t>ABC93</t>
  </si>
  <si>
    <t>İbrahimov Faiq Əliheydər  oğlu</t>
  </si>
  <si>
    <t>ABC532</t>
  </si>
  <si>
    <t>Hüseynov Fərhad Ənvər  oğlu</t>
  </si>
  <si>
    <t>ABC245</t>
  </si>
  <si>
    <t>İbrahimova Selcan Bəhruz qızı</t>
  </si>
  <si>
    <t>ABC655</t>
  </si>
  <si>
    <t>Mehdili Mübariz Həmdiyə  oğlu</t>
  </si>
  <si>
    <t>ABC51</t>
  </si>
  <si>
    <t>Çərkəzli Nailə Teymur qızı</t>
  </si>
  <si>
    <t>ABC377</t>
  </si>
  <si>
    <t>Əliyev Asif Elşad  oğlu</t>
  </si>
  <si>
    <t>ABC16</t>
  </si>
  <si>
    <t>Məmmədova Lalə Emin qızı</t>
  </si>
  <si>
    <t>ABC647</t>
  </si>
  <si>
    <t>Əmirov Seyfəl Şamil  oğlu</t>
  </si>
  <si>
    <t>ABC570</t>
  </si>
  <si>
    <t>Alışova Turan Rəşad qızı</t>
  </si>
  <si>
    <t>ABC435</t>
  </si>
  <si>
    <t>Musayev Rafiq Əli  oğlu</t>
  </si>
  <si>
    <t>ABC271</t>
  </si>
  <si>
    <t>Həsənov Cəlil Nazim  oğlu</t>
  </si>
  <si>
    <t>ABC368</t>
  </si>
  <si>
    <t>Rəhimli Raifə Pərvin qızı</t>
  </si>
  <si>
    <t>ABC664</t>
  </si>
  <si>
    <t>Əlizadə Zülfiyyə Elimxan qızı</t>
  </si>
  <si>
    <t>ABC139</t>
  </si>
  <si>
    <t>Mütəllimov Yasəf Məhəmmədhüseyn  oğlu</t>
  </si>
  <si>
    <t>ABC305</t>
  </si>
  <si>
    <t>Mirzəcanov Rafiq Füzuli  oğlu</t>
  </si>
  <si>
    <t>ABC602</t>
  </si>
  <si>
    <t>Cəlilova Şölə Bədəl qızı</t>
  </si>
  <si>
    <t>ABC178</t>
  </si>
  <si>
    <t>Baxşəliyeva Gülsüm Rəcəb qızı</t>
  </si>
  <si>
    <t>ABC401</t>
  </si>
  <si>
    <t>Hacıyev Rəşid Ağakişi  oğlu</t>
  </si>
  <si>
    <t>ABC589</t>
  </si>
  <si>
    <t>Hüseynova Aytəkin Faiq qızı</t>
  </si>
  <si>
    <t>ABC138</t>
  </si>
  <si>
    <t>Mənsimova Xatirə Qurban qızı</t>
  </si>
  <si>
    <t>ABC98</t>
  </si>
  <si>
    <t>Qənbərli Qüdrət Həsənağa  oğlu</t>
  </si>
  <si>
    <t>ABC169</t>
  </si>
  <si>
    <t>Rəsulov Əkbər Ağaislam  oğlu</t>
  </si>
  <si>
    <t>ABC563</t>
  </si>
  <si>
    <t>İbrahimov Nəbi Sabir  oğlu</t>
  </si>
  <si>
    <t>ABC666</t>
  </si>
  <si>
    <t>Mirzəyev Mirzə Malik  oğlu</t>
  </si>
  <si>
    <t>ABC633</t>
  </si>
  <si>
    <t>Xəlilzadə Dürdanə Eldəniz qızı</t>
  </si>
  <si>
    <t>ABC667</t>
  </si>
  <si>
    <t>Hüseynov Yusuf Almaz  oğlu</t>
  </si>
  <si>
    <t>ABC392</t>
  </si>
  <si>
    <t>Rəhimli Zəhra Kənan qızı</t>
  </si>
  <si>
    <t>ABC382</t>
  </si>
  <si>
    <t>Hüseynli Könül Firudin qızı</t>
  </si>
  <si>
    <t>ABC659</t>
  </si>
  <si>
    <t>Mustafayev Vladislav Musa  oğlu</t>
  </si>
  <si>
    <t>ABC610</t>
  </si>
  <si>
    <t>Abdullayev Vüqar Rustəm  oğlu</t>
  </si>
  <si>
    <t>ABC127</t>
  </si>
  <si>
    <t>Əliyev İman Bayraməli  oğlu</t>
  </si>
  <si>
    <t>ABC6</t>
  </si>
  <si>
    <t>Qəniyev İslam Famil  oğlu</t>
  </si>
  <si>
    <t>ABC407</t>
  </si>
  <si>
    <t>Əliyev Həmid Qurbanəli  oğlu</t>
  </si>
  <si>
    <t>ABC348</t>
  </si>
  <si>
    <t>Məmmədov Ramazan Fidayə  oğlu</t>
  </si>
  <si>
    <t>ABC364</t>
  </si>
  <si>
    <t>Hacıyev Yaşar Məmmədhəsən  oğlu</t>
  </si>
  <si>
    <t>ABC584</t>
  </si>
  <si>
    <t>Şiralıyev Əjdər Şahniyar  oğlu</t>
  </si>
  <si>
    <t>ABC541</t>
  </si>
  <si>
    <t>Əliyeva Məsmə Fərid qızı</t>
  </si>
  <si>
    <t>ABC96</t>
  </si>
  <si>
    <t>Məmmədova Xədicə Adil qızı</t>
  </si>
  <si>
    <t>ABC395</t>
  </si>
  <si>
    <t>Məmmədova Turanə Sərdar qızı</t>
  </si>
  <si>
    <t>ABC671</t>
  </si>
  <si>
    <t>Xalıqov Azad Bəhrəm  oğlu</t>
  </si>
  <si>
    <t>ABC539</t>
  </si>
  <si>
    <t>Baxşəliyeva Dilşad Ramin qızı</t>
  </si>
  <si>
    <t>Satış üzrə mütəxəssis</t>
  </si>
  <si>
    <t>ABC243</t>
  </si>
  <si>
    <t>Rəhimli Günel Əvəz qızı</t>
  </si>
  <si>
    <t>ABC528</t>
  </si>
  <si>
    <t>Məmmədov Rüstəm Qasım  oğlu</t>
  </si>
  <si>
    <t>ABC473</t>
  </si>
  <si>
    <t>Məmmədli Gövhər Yusif qızı</t>
  </si>
  <si>
    <t>ABC194</t>
  </si>
  <si>
    <t>İsmayılov Zabit Vaqif  oğlu</t>
  </si>
  <si>
    <t>ABC45</t>
  </si>
  <si>
    <t>Aslanova Flora Nadir qızı</t>
  </si>
  <si>
    <t>ABC105</t>
  </si>
  <si>
    <t>Salahov Saleh İntiqam  oğlu</t>
  </si>
  <si>
    <t>ABC367</t>
  </si>
  <si>
    <t>Məmmədov Azər Ramiz  oğlu</t>
  </si>
  <si>
    <t>ABC85</t>
  </si>
  <si>
    <t>Rəsulov Nüsrət Məhəmməd  oğlu</t>
  </si>
  <si>
    <t>ABC15</t>
  </si>
  <si>
    <t>Əhmədov Ələskər Süleyman  oğlu</t>
  </si>
  <si>
    <t>ABC224</t>
  </si>
  <si>
    <t>Əzizov Rasim Xasay  oğlu</t>
  </si>
  <si>
    <t>ABC3</t>
  </si>
  <si>
    <t>Hüseynov İntiqam Mehman  oğlu</t>
  </si>
  <si>
    <t>ABC333</t>
  </si>
  <si>
    <t>Səfərov Zaur Əsədulla  oğlu</t>
  </si>
  <si>
    <t>ABC292</t>
  </si>
  <si>
    <t>Baxışlı Bayram Fizuli  oğlu</t>
  </si>
  <si>
    <t>ABC198</t>
  </si>
  <si>
    <t>Osmanlı Fidan Şirxan qızı</t>
  </si>
  <si>
    <t>ABC307</t>
  </si>
  <si>
    <t>Hüseynov Əliş Qafur  oğlu</t>
  </si>
  <si>
    <t>ABC673</t>
  </si>
  <si>
    <t>Hacıbəyova Zeynəb Rza qızı</t>
  </si>
  <si>
    <t>ABC624</t>
  </si>
  <si>
    <t>Hüseynov Sərdar Məhərrəm  oğlu</t>
  </si>
  <si>
    <t>ABC157</t>
  </si>
  <si>
    <t>Həsənov Ərkan Alışan  oğlu</t>
  </si>
  <si>
    <t>ABC474</t>
  </si>
  <si>
    <t>Məlikli Sona Raif qızı</t>
  </si>
  <si>
    <t>ABC1</t>
  </si>
  <si>
    <t>Quliyev Üzeyir Rafət  oğlu</t>
  </si>
  <si>
    <t>ABC62</t>
  </si>
  <si>
    <t>Əzizov Telman Mösüm  oğlu</t>
  </si>
  <si>
    <t>ABC415</t>
  </si>
  <si>
    <t>Həsənov Zamiq Firuz  oğlu</t>
  </si>
  <si>
    <t>ABC319</t>
  </si>
  <si>
    <t>Həsənov Nəzirməmməd Nəzərəli  oğlu</t>
  </si>
  <si>
    <t>ABC546</t>
  </si>
  <si>
    <t>Abbasov Asif Abdulla  oğlu</t>
  </si>
  <si>
    <t>ABC114</t>
  </si>
  <si>
    <t>Alməmmədov Sarvan Asif  oğlu</t>
  </si>
  <si>
    <t>ABC296</t>
  </si>
  <si>
    <t>Mahmudov Zülfüqar Məğrub  oğlu</t>
  </si>
  <si>
    <t>ABC173</t>
  </si>
  <si>
    <t>Əliyev Zahir Sərxan  oğlu</t>
  </si>
  <si>
    <t>ABC376</t>
  </si>
  <si>
    <t>Əliyeva Pərvinə İsmayıl qızı</t>
  </si>
  <si>
    <t>ABC189</t>
  </si>
  <si>
    <t>Heydərov Elşad İxtiyar  oğlu</t>
  </si>
  <si>
    <t>ABC237</t>
  </si>
  <si>
    <t>İmamquliyev Elman Hüseyn  oğlu</t>
  </si>
  <si>
    <t>ABC613</t>
  </si>
  <si>
    <t>Əhmədova Sədaqət Qerman qızı</t>
  </si>
  <si>
    <t>ABC216</t>
  </si>
  <si>
    <t>İbrahimova Samirə Eyvaz qızı</t>
  </si>
  <si>
    <t>ABC36</t>
  </si>
  <si>
    <t>Əlizadə Səlimət Vəli qızı</t>
  </si>
  <si>
    <t>ABC573</t>
  </si>
  <si>
    <t>Binətəliyev Valid Adgözəl  oğlu</t>
  </si>
  <si>
    <t>ABC594</t>
  </si>
  <si>
    <t>Mustafayev Nazim Əsgər  oğlu</t>
  </si>
  <si>
    <t>ABC222</t>
  </si>
  <si>
    <t>Əsədullayev Süleyman Məmmədəli  oğlu</t>
  </si>
  <si>
    <t>ABC486</t>
  </si>
  <si>
    <t>Məmmədli Məsmə Bəxtiyar qızı</t>
  </si>
  <si>
    <t>ABC611</t>
  </si>
  <si>
    <t>Nərimanlı Yazgül Ramin qızı</t>
  </si>
  <si>
    <t>ABC461</t>
  </si>
  <si>
    <t>Babayeva Gülşən Əli qızı</t>
  </si>
  <si>
    <t>ABC64</t>
  </si>
  <si>
    <t>Qarayeva Fimar Əfqan qızı</t>
  </si>
  <si>
    <t>ABC50</t>
  </si>
  <si>
    <t>Səmədov Rasim Əsgərəli  oğlu</t>
  </si>
  <si>
    <t>ABC215</t>
  </si>
  <si>
    <t>Əsədova Taliyə Akif qızı</t>
  </si>
  <si>
    <t>ABC71</t>
  </si>
  <si>
    <t>Əskərov Kamran Natiq  oğlu</t>
  </si>
  <si>
    <t>ABC260</t>
  </si>
  <si>
    <t>Əhmədov Sadiq İlham  oğlu</t>
  </si>
  <si>
    <t>ABC344</t>
  </si>
  <si>
    <t>Babayeva Gülnarə Cavad qızı</t>
  </si>
  <si>
    <t>ABC608</t>
  </si>
  <si>
    <t>Əliyev Haxverdi Mehdi  oğlu</t>
  </si>
  <si>
    <t>ABC370</t>
  </si>
  <si>
    <t>Qafarlı Nisə Ədalət qızı</t>
  </si>
  <si>
    <t>ABC538</t>
  </si>
  <si>
    <t>Sofiyeva Ceyla Vüqar qızı</t>
  </si>
  <si>
    <t>ABC188</t>
  </si>
  <si>
    <t>Məmmədov Ruhid Nadir  oğlu</t>
  </si>
  <si>
    <t>ABC26</t>
  </si>
  <si>
    <t>Əliyev Qulu Mövmin  oğlu</t>
  </si>
  <si>
    <t>ABC34</t>
  </si>
  <si>
    <t>Mazanova Ayla Zakir qızı</t>
  </si>
  <si>
    <t>ABC121</t>
  </si>
  <si>
    <t>Əkbərova Zarəngiz Teyyub qızı</t>
  </si>
  <si>
    <t>ABC516</t>
  </si>
  <si>
    <t>Qafarov Azad Zeynal  oğlu</t>
  </si>
  <si>
    <t>ABC421</t>
  </si>
  <si>
    <t>Mehdiyeva Aydan Allahverdi qızı</t>
  </si>
  <si>
    <t>ABC95</t>
  </si>
  <si>
    <t>Hüseynov Məmmədalı Əli  oğlu</t>
  </si>
  <si>
    <t>ABC311</t>
  </si>
  <si>
    <t>Bayramov Səxavət Tahir  oğlu</t>
  </si>
  <si>
    <t>ABC447</t>
  </si>
  <si>
    <t>Poladov Asif Akif  oğlu</t>
  </si>
  <si>
    <t>ABC343</t>
  </si>
  <si>
    <t>Hüseynov İlqar Əbdüləli  oğlu</t>
  </si>
  <si>
    <t>ABC640</t>
  </si>
  <si>
    <t>Qədirov Turan Ceyhun  oğlu</t>
  </si>
  <si>
    <t>ABC131</t>
  </si>
  <si>
    <t>Ağayev Hakim Firudin  oğlu</t>
  </si>
  <si>
    <t>ABC467</t>
  </si>
  <si>
    <t>Siryayeva Qənimət Mübariz qızı</t>
  </si>
  <si>
    <t>ABC390</t>
  </si>
  <si>
    <t>Məmmədli Yaşar Eyvaz  oğlu</t>
  </si>
  <si>
    <t>ABC126</t>
  </si>
  <si>
    <t>Zamanov Sənan Mirzəbala  oğlu</t>
  </si>
  <si>
    <t>ABC616</t>
  </si>
  <si>
    <t>Çərkəzli Elgün Vahid  oğlu</t>
  </si>
  <si>
    <t>ABC579</t>
  </si>
  <si>
    <t>Mirzəcanova Səlimə Zabil qızı</t>
  </si>
  <si>
    <t>ABC413</t>
  </si>
  <si>
    <t>Əliyev Lətif Xeyrulla  oğlu</t>
  </si>
  <si>
    <t>ABC249</t>
  </si>
  <si>
    <t>Baxışlı Adilə Yaqub qızı</t>
  </si>
  <si>
    <t>ABC164</t>
  </si>
  <si>
    <t>Əfəndiyeva Nuray Babaşah qızı</t>
  </si>
  <si>
    <t>ABC498</t>
  </si>
  <si>
    <t>Əfəndili Naibə Emil qızı</t>
  </si>
  <si>
    <t>ABC385</t>
  </si>
  <si>
    <t>Nəbiyeva Rəfiqə Qurban qızı</t>
  </si>
  <si>
    <t>ABC551</t>
  </si>
  <si>
    <t>Əcəmov Afil Əbülfəz  oğlu</t>
  </si>
  <si>
    <t>ABC654</t>
  </si>
  <si>
    <t>İbrahimova Almaz Mehman qızı</t>
  </si>
  <si>
    <t>ABC419</t>
  </si>
  <si>
    <t>Qasımov Rəşid Zakir  oğlu</t>
  </si>
  <si>
    <t>ABC361</t>
  </si>
  <si>
    <t>Ələkbərova Lamiyə Zəfər qızı</t>
  </si>
  <si>
    <t>ABC374</t>
  </si>
  <si>
    <t>Hüseynov Novruz Fərman  oğlu</t>
  </si>
  <si>
    <t>ABC450</t>
  </si>
  <si>
    <t>Həmidli Hüsniyyə Faiq qızı</t>
  </si>
  <si>
    <t>ABC630</t>
  </si>
  <si>
    <t>Hüseynova Brilyant Taptıq qızı</t>
  </si>
  <si>
    <t>ABC582</t>
  </si>
  <si>
    <t>Əlizadə Vüsalə Elvin qızı</t>
  </si>
  <si>
    <t>ABC345</t>
  </si>
  <si>
    <t>Ağayev İlqar Əşrəf  oğlu</t>
  </si>
  <si>
    <t>ABC426</t>
  </si>
  <si>
    <t>Xalıqov Ramiz Şahlar  oğlu</t>
  </si>
  <si>
    <t>ABC446</t>
  </si>
  <si>
    <t>Nuriyeva Şərafət Qənimət qızı</t>
  </si>
  <si>
    <t>ABC463</t>
  </si>
  <si>
    <t>Nəbiyeva Taliyə Turan qızı</t>
  </si>
  <si>
    <t>ABC298</t>
  </si>
  <si>
    <t>Mirzəcanova Aliyə Nicat qızı</t>
  </si>
  <si>
    <t>ABC287</t>
  </si>
  <si>
    <t>Osmanlı Rəmziyə Əflatun qızı</t>
  </si>
  <si>
    <t>ABC270</t>
  </si>
  <si>
    <t>Dadaşova Könül Ədalət qızı</t>
  </si>
  <si>
    <t>ABC559</t>
  </si>
  <si>
    <t>Məmmədova Füruzə Əliağa qızı</t>
  </si>
  <si>
    <t>ABC148</t>
  </si>
  <si>
    <t>Qurbanova Xanım Nicat qızı</t>
  </si>
  <si>
    <t>ABC400</t>
  </si>
  <si>
    <t>Əliyeva Nuranə Qara qızı</t>
  </si>
  <si>
    <t>ABC313</t>
  </si>
  <si>
    <t>Poladov Etiqad Xansuvar  oğlu</t>
  </si>
  <si>
    <t>ABC398</t>
  </si>
  <si>
    <t>Süleymanov Emin Əli  oğlu</t>
  </si>
  <si>
    <t>ABC607</t>
  </si>
  <si>
    <t>Rəhimov Vüqar Hidayət  oğlu</t>
  </si>
  <si>
    <t>ABC612</t>
  </si>
  <si>
    <t>Babayev Xudu Balağa  oğlu</t>
  </si>
  <si>
    <t>ABC7</t>
  </si>
  <si>
    <t>Nəbiyeva Nəzakət Məmməd qızı</t>
  </si>
  <si>
    <t>ABC514</t>
  </si>
  <si>
    <t>Mədətova İradə Elvin qızı</t>
  </si>
  <si>
    <t>ABC550</t>
  </si>
  <si>
    <t>Allahyarova Lətafət Rəşad qızı</t>
  </si>
  <si>
    <t>ABC35</t>
  </si>
  <si>
    <t>Vəliyev Şahin Ağakişi  oğlu</t>
  </si>
  <si>
    <t>ABC14</t>
  </si>
  <si>
    <t>İbrahimova Südabə Yaşar qızı</t>
  </si>
  <si>
    <t>ABC102</t>
  </si>
  <si>
    <t>Əsgərova Güllər Eldar qızı</t>
  </si>
  <si>
    <t>ABC487</t>
  </si>
  <si>
    <t>Həmidova Həmidə  Namiq qızı</t>
  </si>
  <si>
    <t>ABC366</t>
  </si>
  <si>
    <t>Şabiyev Adıgözəl Telman  oğlu</t>
  </si>
  <si>
    <t>ABC689</t>
  </si>
  <si>
    <t>Rəşidov Nazim Şirəli  oğlu</t>
  </si>
  <si>
    <t>ABC346</t>
  </si>
  <si>
    <t>Aslanlı Elnarə Yusif qızı</t>
  </si>
  <si>
    <t>ABC495</t>
  </si>
  <si>
    <t>Qasımova Məlahət Rufulla qızı</t>
  </si>
  <si>
    <t>ABC208</t>
  </si>
  <si>
    <t>İbrahimova Mülayim Cəfər qızı</t>
  </si>
  <si>
    <t>ABC174</t>
  </si>
  <si>
    <t>İsrafilov Vahid Daşlı  oğlu</t>
  </si>
  <si>
    <t>ABC219</t>
  </si>
  <si>
    <t>Zingirov Yasəf Xanəli  oğlu</t>
  </si>
  <si>
    <t>ABC481</t>
  </si>
  <si>
    <t>İmanov Ramin Rza  oğlu</t>
  </si>
  <si>
    <t>ABC658</t>
  </si>
  <si>
    <t>Tağıyev Vitaliy Mirzə  oğlu</t>
  </si>
  <si>
    <t>ABC449</t>
  </si>
  <si>
    <t>Əmirov Sirac Zülfüqar  oğlu</t>
  </si>
  <si>
    <t>ABC428</t>
  </si>
  <si>
    <t>Abbasova Yasəmən Faiq qızı</t>
  </si>
  <si>
    <t>ABC642</t>
  </si>
  <si>
    <t>Aslanlı Solmaz Cəmaləddin qızı</t>
  </si>
  <si>
    <t>ABC316</t>
  </si>
  <si>
    <t>Hüseynov Asiman Muqbil  oğlu</t>
  </si>
  <si>
    <t>ABC197</t>
  </si>
  <si>
    <t>Kərimov Roman Şirindil  oğlu</t>
  </si>
  <si>
    <t>ABC144</t>
  </si>
  <si>
    <t>Hüseynova İlhamə Ruslan qızı</t>
  </si>
  <si>
    <t>ABC586</t>
  </si>
  <si>
    <t>Hüseynova Turan Vilayət qızı</t>
  </si>
  <si>
    <t>ABC163</t>
  </si>
  <si>
    <t>Yaqubova Nüşabə Yasin qızı</t>
  </si>
  <si>
    <t>ABC639</t>
  </si>
  <si>
    <t>Hüseynli İlnarə Faiq qızı</t>
  </si>
  <si>
    <t>ABC58</t>
  </si>
  <si>
    <t>Məmmədli Gülarə Elgün qızı</t>
  </si>
  <si>
    <t>ABC444</t>
  </si>
  <si>
    <t>Məlikli Yunis Fəhrat  oğlu</t>
  </si>
  <si>
    <t>ABC201</t>
  </si>
  <si>
    <t>Butayev Pərviz Süleyman  oğlu</t>
  </si>
  <si>
    <t>ABC221</t>
  </si>
  <si>
    <t>Cəfərov Vladislav Səbuhi  oğlu</t>
  </si>
  <si>
    <t>ABC143</t>
  </si>
  <si>
    <t>Rüstəmli Züleyxa Azər qızı</t>
  </si>
  <si>
    <t>ABC604</t>
  </si>
  <si>
    <t>Şəfiyev Anar Nuruş  oğlu</t>
  </si>
  <si>
    <t>ABC167</t>
  </si>
  <si>
    <t>Zeynallı Leyla Cavanşir qızı</t>
  </si>
  <si>
    <t>ABC337</t>
  </si>
  <si>
    <t>Zingirov Vasif Tevan  oğlu</t>
  </si>
  <si>
    <t>ABC266</t>
  </si>
  <si>
    <t>Niyazlı Növrəstə Ramiz qızı</t>
  </si>
  <si>
    <t>ABC408</t>
  </si>
  <si>
    <t>Məmmədova İradə Cavad qızı</t>
  </si>
  <si>
    <t>ABC165</t>
  </si>
  <si>
    <t>Fərziyeva Ceyran Ramin qızı</t>
  </si>
  <si>
    <t>ABC214</t>
  </si>
  <si>
    <t>Əhmədov Eyvaz Paşa  oğlu</t>
  </si>
  <si>
    <t>ABC168</t>
  </si>
  <si>
    <t>Quliyeva Əsmər Azad qızı</t>
  </si>
  <si>
    <t>ABC53</t>
  </si>
  <si>
    <t>Camalova Sayalı Hafiz qızı</t>
  </si>
  <si>
    <t>ABC409</t>
  </si>
  <si>
    <t>Səmədov Bahadır Firudin  oğlu</t>
  </si>
  <si>
    <t>ABC535</t>
  </si>
  <si>
    <t>Yaqubov Elxan Akif  oğlu</t>
  </si>
  <si>
    <t>ABC496</t>
  </si>
  <si>
    <t>Səfərli Aygün Yaşar qızı</t>
  </si>
  <si>
    <t>ABC547</t>
  </si>
  <si>
    <t>Məmmədova Türkan Elbəy qızı</t>
  </si>
  <si>
    <t>ABC431</t>
  </si>
  <si>
    <t>Ələkbərov Fəxrəddin İdrak  oğlu</t>
  </si>
  <si>
    <t>ABC572</t>
  </si>
  <si>
    <t>Abugülov Rafiz Pənah  oğlu</t>
  </si>
  <si>
    <t>ABC593</t>
  </si>
  <si>
    <t>Qasımov Sərxan Niyaz  oğlu</t>
  </si>
  <si>
    <t>ABC476</t>
  </si>
  <si>
    <t>Nəcəfov Emin Cəbrayıl  oğlu</t>
  </si>
  <si>
    <t>ABC285</t>
  </si>
  <si>
    <t>Nərimanlı Məmmədağa Abasət  oğlu</t>
  </si>
  <si>
    <t>ABC549</t>
  </si>
  <si>
    <t>Sultanov Xəyyam Arif  oğlu</t>
  </si>
  <si>
    <t>ABC59</t>
  </si>
  <si>
    <t>Hüseynov Vidadi Zaxid  oğlu</t>
  </si>
  <si>
    <t>ABC424</t>
  </si>
  <si>
    <t>Fətdayev Mümtaz Tahir  oğlu</t>
  </si>
  <si>
    <t>ABC205</t>
  </si>
  <si>
    <t>Əşrəfova Əsmər Bədəl qızı</t>
  </si>
  <si>
    <t>ABC87</t>
  </si>
  <si>
    <t>Təhməzov Məzair Şöhrət  oğlu</t>
  </si>
  <si>
    <t>ABC155</t>
  </si>
  <si>
    <t>Səfərli Nazir Sərkar  oğlu</t>
  </si>
  <si>
    <t>ABC77</t>
  </si>
  <si>
    <t>Qafarlı Babək Dədəkişi  oğlu</t>
  </si>
  <si>
    <t>ABC86</t>
  </si>
  <si>
    <t>Zeynallı Gövhər Adgözəl qızı</t>
  </si>
  <si>
    <t>ABC513</t>
  </si>
  <si>
    <t>Həbibli Gülnar Bilal qızı</t>
  </si>
  <si>
    <t>ABC386</t>
  </si>
  <si>
    <t>Həsənova Rəfiqə Namiq qızı</t>
  </si>
  <si>
    <t>ABC251</t>
  </si>
  <si>
    <t>Əbilov Rəşadət Dövlət  oğlu</t>
  </si>
  <si>
    <t>ABC592</t>
  </si>
  <si>
    <t>İsmayılova Səkinə Etibar qızı</t>
  </si>
  <si>
    <t>ABC232</t>
  </si>
  <si>
    <t>Xəlilov Mehdi Rafət  oğlu</t>
  </si>
  <si>
    <t>ABC326</t>
  </si>
  <si>
    <t>Əmbiyeva Gülzar Süleyman qızı</t>
  </si>
  <si>
    <t>ABC363</t>
  </si>
  <si>
    <t>Seydiyev Cabbar İlqar  oğlu</t>
  </si>
  <si>
    <t>ABC150</t>
  </si>
  <si>
    <t>Camalova Yasəmən Aydın qızı</t>
  </si>
  <si>
    <t>ABC393</t>
  </si>
  <si>
    <t>Məcidov Lazım Fariz  oğlu</t>
  </si>
  <si>
    <t>ABC675</t>
  </si>
  <si>
    <t>Məmmədova Ulduz Aqil qızı</t>
  </si>
  <si>
    <t>ABC558</t>
  </si>
  <si>
    <t>Hacıbalayeva Səadət Musa qızı</t>
  </si>
  <si>
    <t>ABC564</t>
  </si>
  <si>
    <t>Zeynalova Gülsüm Elman qızı</t>
  </si>
  <si>
    <t>ABC183</t>
  </si>
  <si>
    <t>Əlizadə Xatirə Elnur qızı</t>
  </si>
  <si>
    <t>ABC522</t>
  </si>
  <si>
    <t>Veysəlova Yelena Vasif qızı</t>
  </si>
  <si>
    <t>ABC108</t>
  </si>
  <si>
    <t>Abdullayev Anar Səhrab  oğlu</t>
  </si>
  <si>
    <t>ABC662</t>
  </si>
  <si>
    <t>Talıbov Firudin Məhəmməd  oğlu</t>
  </si>
  <si>
    <t>ABC686</t>
  </si>
  <si>
    <t>Abdulxalıqov Xudaverdi Məhəmməd  oğlu</t>
  </si>
  <si>
    <t>ABC294</t>
  </si>
  <si>
    <t>Qurbanova Cəmilə Mahir qızı</t>
  </si>
  <si>
    <t>ABC412</t>
  </si>
  <si>
    <t>Mikayılov Ziya Əmirxan  oğlu</t>
  </si>
  <si>
    <t>ABC57</t>
  </si>
  <si>
    <t>Nərimanov Mirzə Eldar  oğlu</t>
  </si>
  <si>
    <t>ABC162</t>
  </si>
  <si>
    <t>Hüseynova Ruhəngiz Bəxtiyar qızı</t>
  </si>
  <si>
    <t>ABC136</t>
  </si>
  <si>
    <t>Mahmudov Həsənağa Əfəndi  oğlu</t>
  </si>
  <si>
    <t>ABC615</t>
  </si>
  <si>
    <t>Qasımov Qabil Bala  oğlu</t>
  </si>
  <si>
    <t>ABC111</t>
  </si>
  <si>
    <t>Gözəlova Nurlana İbrahim qızı</t>
  </si>
  <si>
    <t>ABC231</t>
  </si>
  <si>
    <t>Əhmədova Şəfiqə Ramil qızı</t>
  </si>
  <si>
    <t>ABC193</t>
  </si>
  <si>
    <t>Manaflı Gülnar Ramil qızı</t>
  </si>
  <si>
    <t>ABC276</t>
  </si>
  <si>
    <t>Hadıyev Ayaz Nazim  oğlu</t>
  </si>
  <si>
    <t>ABC206</t>
  </si>
  <si>
    <t>Aslanova Ramilə Əmir qızı</t>
  </si>
  <si>
    <t>ABC548</t>
  </si>
  <si>
    <t>Cəlilova Dürdanə Nazim qızı</t>
  </si>
  <si>
    <t>ABC268</t>
  </si>
  <si>
    <t>Məhərrəmli Lətifə İlqar qızı</t>
  </si>
  <si>
    <t>ABC643</t>
  </si>
  <si>
    <t>Quliyev Amil İkram  oğlu</t>
  </si>
  <si>
    <t>ABC24</t>
  </si>
  <si>
    <t>Əsgərov Seyran Ələsgər  oğlu</t>
  </si>
  <si>
    <t>ABC89</t>
  </si>
  <si>
    <t>Atakişiyev Səlahəddin Asəf  oğlu</t>
  </si>
  <si>
    <t>ABC575</t>
  </si>
  <si>
    <t>Şükürov Aydın Teyyub  oğlu</t>
  </si>
  <si>
    <t>ABC402</t>
  </si>
  <si>
    <t>Ağamaliyev Vaqif  Zakir  oğlu</t>
  </si>
  <si>
    <t>ABC626</t>
  </si>
  <si>
    <t>Mazanova Əntiqə Namiq qızı</t>
  </si>
  <si>
    <t>ABC441</t>
  </si>
  <si>
    <t>Hüseynova Lalə Zayid qızı</t>
  </si>
  <si>
    <t>ABC32</t>
  </si>
  <si>
    <t>Hüseynov Eldəniz İsmayıl  oğlu</t>
  </si>
  <si>
    <t>ABC649</t>
  </si>
  <si>
    <t>Tahirova Zibeydə Vüqar qızı</t>
  </si>
  <si>
    <t>ABC2</t>
  </si>
  <si>
    <t>Məmmədova Aynurə Rasim qızı</t>
  </si>
  <si>
    <t>ABC536</t>
  </si>
  <si>
    <t>Aslanov Fərman Bəylər  oğlu</t>
  </si>
  <si>
    <t>ABC494</t>
  </si>
  <si>
    <t>Məmmədli Firəngiz Asəf qızı</t>
  </si>
  <si>
    <t>ABC456</t>
  </si>
  <si>
    <t>Əliyeva Hökümə Ülfət qızı</t>
  </si>
  <si>
    <t>ABC617</t>
  </si>
  <si>
    <t>Miriyeva Leyla İslam qızı</t>
  </si>
  <si>
    <t>ABC31</t>
  </si>
  <si>
    <t>Cəlilov Arif Əlyar  oğlu</t>
  </si>
  <si>
    <t>ABC252</t>
  </si>
  <si>
    <t>Rüstəmov Elturan Salam  oğlu</t>
  </si>
  <si>
    <t>ABC141</t>
  </si>
  <si>
    <t>Hümbətli Nərminə Elxan qızı</t>
  </si>
  <si>
    <t>ABC637</t>
  </si>
  <si>
    <t>Tağıyev Çingiz Telman  oğlu</t>
  </si>
  <si>
    <t>ABC330</t>
  </si>
  <si>
    <t>Osmanov Elşad Bağır  oğlu</t>
  </si>
  <si>
    <t>ABC41</t>
  </si>
  <si>
    <t>Babayeva Xalisə Rəfail qızı</t>
  </si>
  <si>
    <t>ABC405</t>
  </si>
  <si>
    <t>Əliyev Səməd Teymur  oğlu</t>
  </si>
  <si>
    <t>ABC676</t>
  </si>
  <si>
    <t>Əliyev Mehdi Qələndər  oğlu</t>
  </si>
  <si>
    <t>ABC596</t>
  </si>
  <si>
    <t>Məmmədov Mirəli İlham  oğlu</t>
  </si>
  <si>
    <t>ABC531</t>
  </si>
  <si>
    <t>Qulizadə Məlahət Kamil qızı</t>
  </si>
  <si>
    <t>ABC454</t>
  </si>
  <si>
    <t>Abdullayev Şaban Qəhrəman  oğlu</t>
  </si>
  <si>
    <t>ABC511</t>
  </si>
  <si>
    <t>Rüstəmov Qaytaran Firudin  oğlu</t>
  </si>
  <si>
    <t>ABC403</t>
  </si>
  <si>
    <t>Qasımova Vahidə Eldəniz qızı</t>
  </si>
  <si>
    <t>ABC314</t>
  </si>
  <si>
    <t>Əliyev Orxan Həbib  oğlu</t>
  </si>
  <si>
    <t>ABC555</t>
  </si>
  <si>
    <t>Allahverdiyev Dönməz Fərhad  oğlu</t>
  </si>
  <si>
    <t>ABC274</t>
  </si>
  <si>
    <t>Alışova Pəri Faiq qızı</t>
  </si>
  <si>
    <t>ABC530</t>
  </si>
  <si>
    <t>Xaməmmədov Mahmud Asəf  oğlu</t>
  </si>
  <si>
    <t>ABC301</t>
  </si>
  <si>
    <t>Əhmədova Tutu Tariel qızı</t>
  </si>
  <si>
    <t>ABC113</t>
  </si>
  <si>
    <t>Şixənmədov Çingiz Əbdül  oğlu</t>
  </si>
  <si>
    <t>ABC595</t>
  </si>
  <si>
    <t>Əhmədov Ramid Sücahət  oğlu</t>
  </si>
  <si>
    <t>ABC434</t>
  </si>
  <si>
    <t>Hüseynova İlqarə Samir qızı</t>
  </si>
  <si>
    <t>ABC186</t>
  </si>
  <si>
    <t>Aslanova Yasəmən Elnur qızı</t>
  </si>
  <si>
    <t>ABC115</t>
  </si>
  <si>
    <t>Mikailov Cahangir Əlövsət  oğlu</t>
  </si>
  <si>
    <t>ABC566</t>
  </si>
  <si>
    <t>Gözəlova Türkanə Elimşah qızı</t>
  </si>
  <si>
    <t>ABC91</t>
  </si>
  <si>
    <t>Rəhimov Ruslan Raqif  oğlu</t>
  </si>
  <si>
    <t>ABC212</t>
  </si>
  <si>
    <t>Cabbarov Elşən Əbülfərz  oğlu</t>
  </si>
  <si>
    <t>ABC492</t>
  </si>
  <si>
    <t>Kərimov Əliəkrəm Məmməd  oğlu</t>
  </si>
  <si>
    <t>ABC335</t>
  </si>
  <si>
    <t>Həsənova Ballı Elvin qızı</t>
  </si>
  <si>
    <t>ABC104</t>
  </si>
  <si>
    <t>Əliyev Röyal Cəfər  oğlu</t>
  </si>
  <si>
    <t>ABC356</t>
  </si>
  <si>
    <t>Zairov Əmir Dilqəm  oğlu</t>
  </si>
  <si>
    <t>ABC380</t>
  </si>
  <si>
    <t>Hacıyev Elşad Novruz  oğlu</t>
  </si>
  <si>
    <t>ABC327</t>
  </si>
  <si>
    <t>Nuriyeva Brilyant Vyaçeslav qızı</t>
  </si>
  <si>
    <t>ABC568</t>
  </si>
  <si>
    <t>Qayıbova Vüsalə Qara qızı</t>
  </si>
  <si>
    <t>ABC632</t>
  </si>
  <si>
    <t>İmanova Kifayət Famil qızı</t>
  </si>
  <si>
    <t>ABC137</t>
  </si>
  <si>
    <t>İbrahimli Evqeniya Elxan qızı</t>
  </si>
  <si>
    <t>ABC217</t>
  </si>
  <si>
    <t>Məmmədov Şahlar Yaşar  oğlu</t>
  </si>
  <si>
    <t>ABC646</t>
  </si>
  <si>
    <t>Əhmədov Aftandil Alışan  oğlu</t>
  </si>
  <si>
    <t>ABC668</t>
  </si>
  <si>
    <t>Əsgərov Turxan Hamlet  oğlu</t>
  </si>
  <si>
    <t>ABC61</t>
  </si>
  <si>
    <t>Cəfərov Məhəmməd Mehdi  oğlu</t>
  </si>
  <si>
    <t>ABC263</t>
  </si>
  <si>
    <t>Quliyev Zahid Eynəli  oğlu</t>
  </si>
  <si>
    <t>ABC247</t>
  </si>
  <si>
    <t>Mahmudova Səhər Nəriman qızı</t>
  </si>
  <si>
    <t>ABC220</t>
  </si>
  <si>
    <t>Cəfərli Zöhrə Zahid qızı</t>
  </si>
  <si>
    <t>ABC25</t>
  </si>
  <si>
    <t>Hüseynova Rəna Musa qızı</t>
  </si>
  <si>
    <t>ABC672</t>
  </si>
  <si>
    <t>Rüstəmov Zeynal Dünyaməddin  oğlu</t>
  </si>
  <si>
    <t>ABC404</t>
  </si>
  <si>
    <t>Qənbərli Gülüş Elimşah qızı</t>
  </si>
  <si>
    <t>ABC506</t>
  </si>
  <si>
    <t>Bağırov Rəsul Xasay  oğlu</t>
  </si>
  <si>
    <t>ABC341</t>
  </si>
  <si>
    <t>Əliyev İlqar Xudat  oğlu</t>
  </si>
  <si>
    <t>ABC235</t>
  </si>
  <si>
    <t>Siryayeva Çimnaz Sahib qızı</t>
  </si>
  <si>
    <t>ABC499</t>
  </si>
  <si>
    <t>İsgəndərli Səfurə Rəvan qızı</t>
  </si>
  <si>
    <t>ABC614</t>
  </si>
  <si>
    <t>Hadiyev Eldar Ağalar  oğlu</t>
  </si>
  <si>
    <t>ABC406</t>
  </si>
  <si>
    <t>Əzizli Şakir Əmir  oğlu</t>
  </si>
  <si>
    <t>ABC347</t>
  </si>
  <si>
    <t>Mehdiyev Elxan Əlikram  oğlu</t>
  </si>
  <si>
    <t>ABC590</t>
  </si>
  <si>
    <t>Vəliyeva Şəlalə İbrahim qızı</t>
  </si>
  <si>
    <t>ABC151</t>
  </si>
  <si>
    <t>İsakova Aynur Ruslan qızı</t>
  </si>
  <si>
    <t>ABC427</t>
  </si>
  <si>
    <t>İdrisova Tamara Faiq qızı</t>
  </si>
  <si>
    <t>ABC54</t>
  </si>
  <si>
    <t>Sadıqova Natəvan Şöhrət qızı</t>
  </si>
  <si>
    <t>ABC669</t>
  </si>
  <si>
    <t>Tağıyev Rizvan Qasım  oğlu</t>
  </si>
  <si>
    <t>ABC420</t>
  </si>
  <si>
    <t>Məmmədli Arifə Qasım qızı</t>
  </si>
  <si>
    <t>ABC229</t>
  </si>
  <si>
    <t>Bədəlova Sidiqə Rəcəb qızı</t>
  </si>
  <si>
    <t>ABC84</t>
  </si>
  <si>
    <t>Məlikov Tahir  Rəşid  oğlu</t>
  </si>
  <si>
    <t>ABC442</t>
  </si>
  <si>
    <t>Qulizadə İradə Orxan qızı</t>
  </si>
  <si>
    <t>ABC515</t>
  </si>
  <si>
    <t>Zeynalov Eldəniz Mübariz  oğlu</t>
  </si>
  <si>
    <t>ABC100</t>
  </si>
  <si>
    <t>Budaqlı İqbal Bilal  oğlu</t>
  </si>
  <si>
    <t>ABC678</t>
  </si>
  <si>
    <t>Səfərli Nəcəf Xanağa  oğlu</t>
  </si>
  <si>
    <t>ABC621</t>
  </si>
  <si>
    <t>Hüseynli Mehriban Rüstəm qızı</t>
  </si>
  <si>
    <t>ABC21</t>
  </si>
  <si>
    <t>Şahvələdova Sevil Əsgər qızı</t>
  </si>
  <si>
    <t>ABC523</t>
  </si>
  <si>
    <t>Babayev Pərvin Cahid  oğlu</t>
  </si>
  <si>
    <t>ABC497</t>
  </si>
  <si>
    <t>Əsgərov Paşa Haqverdi  oğlu</t>
  </si>
  <si>
    <t>ABC82</t>
  </si>
  <si>
    <t>Hüseynov Sulduz Telman  oğlu</t>
  </si>
  <si>
    <t>ABC552</t>
  </si>
  <si>
    <t>Əlizadə Arifə Mobil qızı</t>
  </si>
  <si>
    <t>ABC479</t>
  </si>
  <si>
    <t>Fətullayev Nəriman Ağavahid  oğlu</t>
  </si>
  <si>
    <t>ABC618</t>
  </si>
  <si>
    <t>Əliyeva Gülbəniz Bəxtiyar qızı</t>
  </si>
  <si>
    <t>ABC517</t>
  </si>
  <si>
    <t>Əsgərova Elvira Əbdulrəhim qızı</t>
  </si>
  <si>
    <t>ABC653</t>
  </si>
  <si>
    <t>Həmidova Səma Anar qızı</t>
  </si>
  <si>
    <t>ABC599</t>
  </si>
  <si>
    <t>Əsədova Nihal Şünasib qızı</t>
  </si>
  <si>
    <t>ABC185</t>
  </si>
  <si>
    <t>Xasayev Rauf Həmzə  oğlu</t>
  </si>
  <si>
    <t>ABC256</t>
  </si>
  <si>
    <t>Hümbətova Rövşanə Rüstəm qızı</t>
  </si>
  <si>
    <t>ABC619</t>
  </si>
  <si>
    <t>Vəliyeva Zərifə Elvin qızı</t>
  </si>
  <si>
    <t>ABC241</t>
  </si>
  <si>
    <t>Mehtiyev Əmrah Əbülfəz  oğlu</t>
  </si>
  <si>
    <t>ABC236</t>
  </si>
  <si>
    <t>Hümbətova Ruhiyyə Şöhrət qızı</t>
  </si>
  <si>
    <t>ABC505</t>
  </si>
  <si>
    <t>Hacıyeva Maisə Hüseyn qızı</t>
  </si>
  <si>
    <t>ABC443</t>
  </si>
  <si>
    <t>Axundov Şıxı Allahverdi  oğlu</t>
  </si>
  <si>
    <t>ABC331</t>
  </si>
  <si>
    <t>Ələkbərova Aidə Cavid qızı</t>
  </si>
  <si>
    <t>ABC670</t>
  </si>
  <si>
    <t>Hüseynov Baba Yamən  oğlu</t>
  </si>
  <si>
    <t>ABC342</t>
  </si>
  <si>
    <t>Primov Nəsib Məhərrəm  oğlu</t>
  </si>
  <si>
    <t>ABC134</t>
  </si>
  <si>
    <t>Rüstəmli Raziyə Kamran qızı</t>
  </si>
  <si>
    <t>ABC27</t>
  </si>
  <si>
    <t>Yunusov Rizvan Nəsir  oğlu</t>
  </si>
  <si>
    <t>ABC265</t>
  </si>
  <si>
    <t>Vəliyev İxtiyar Nazim  oğlu</t>
  </si>
  <si>
    <t>ABC78</t>
  </si>
  <si>
    <t>Əfəndiyeva Həmidə  Rahil qızı</t>
  </si>
  <si>
    <t>ABC160</t>
  </si>
  <si>
    <t>Babayev Anar Sövdüməli  oğlu</t>
  </si>
  <si>
    <t>ABC204</t>
  </si>
  <si>
    <t>İlmanov Rəşad Nazim  oğlu</t>
  </si>
  <si>
    <t>ABC439</t>
  </si>
  <si>
    <t>Məmmədova Rasimə Əhəd qızı</t>
  </si>
  <si>
    <t>ABC480</t>
  </si>
  <si>
    <t>Həsənov Afiq Gülmirzə  oğlu</t>
  </si>
  <si>
    <t>ABC23</t>
  </si>
  <si>
    <t>Qasımov Xosrov Elman  oğlu</t>
  </si>
  <si>
    <t>ABC375</t>
  </si>
  <si>
    <t>Hüseynova Fatma Fariz qızı</t>
  </si>
  <si>
    <t>ABC257</t>
  </si>
  <si>
    <t>Hacıyev İmam Böyükxan  oğlu</t>
  </si>
  <si>
    <t>ABC306</t>
  </si>
  <si>
    <t>Ağayev Müslüm Orucəli  oğlu</t>
  </si>
  <si>
    <t>ABC526</t>
  </si>
  <si>
    <t>Əfəndiyeva Aybəniz Naib qızı</t>
  </si>
  <si>
    <t>ABC414</t>
  </si>
  <si>
    <t>Əliyev İlqar Bəzirğan  oğlu</t>
  </si>
  <si>
    <t>ABC172</t>
  </si>
  <si>
    <t>Hüseynov Vaqif Nadirhüseyn  oğlu</t>
  </si>
  <si>
    <t>ABC107</t>
  </si>
  <si>
    <t>Məcidov Nağı Durasan  oğlu</t>
  </si>
  <si>
    <t>ABC277</t>
  </si>
  <si>
    <t>Süleymanov Azər Böyükkişi  oğlu</t>
  </si>
  <si>
    <t>ABC79</t>
  </si>
  <si>
    <t>Məhərrəmli Gülçin Çingiz qızı</t>
  </si>
  <si>
    <t>ABC83</t>
  </si>
  <si>
    <t>Hüseynova Gülüstan Akif qızı</t>
  </si>
  <si>
    <t>ABC56</t>
  </si>
  <si>
    <t>Əzimov Bəhlul Hüseyn  oğlu</t>
  </si>
  <si>
    <t>ABC152</t>
  </si>
  <si>
    <t>Bəkmirzəyev Yalçın Seyidbaba  oğlu</t>
  </si>
  <si>
    <t>ABC512</t>
  </si>
  <si>
    <t>İbrahimova Elnarə İlham qızı</t>
  </si>
  <si>
    <t>ABC156</t>
  </si>
  <si>
    <t>Əliyev Elmir Qeybulla  oğlu</t>
  </si>
  <si>
    <t>ABC358</t>
  </si>
  <si>
    <t>Zərbəliyev Yahya Fizuli  oğlu</t>
  </si>
  <si>
    <t>ABC631</t>
  </si>
  <si>
    <t>Şərifova Fizzə Vaqif qızı</t>
  </si>
  <si>
    <t>ABC177</t>
  </si>
  <si>
    <t>Hacıyev Münəvvər Fəhrad  oğlu</t>
  </si>
  <si>
    <t>ABC394</t>
  </si>
  <si>
    <t>Rzayev Sadiq Alış  oğlu</t>
  </si>
  <si>
    <t>ABC680</t>
  </si>
  <si>
    <t>Novruzov Ramin Haqqulla  oğlu</t>
  </si>
  <si>
    <t>GƏLİR</t>
  </si>
  <si>
    <t>Ölkə</t>
  </si>
  <si>
    <t>Etiket qiyməti</t>
  </si>
  <si>
    <t>Satış qiyməti</t>
  </si>
  <si>
    <t>Almaniya</t>
  </si>
  <si>
    <t>Paltaryuyan maşın</t>
  </si>
  <si>
    <t>Kondisioner</t>
  </si>
  <si>
    <t>Soyuducu</t>
  </si>
  <si>
    <t>Argentina</t>
  </si>
  <si>
    <t>Australia</t>
  </si>
  <si>
    <t>Avstriya</t>
  </si>
  <si>
    <t>Braziliya</t>
  </si>
  <si>
    <t>Çexiya</t>
  </si>
  <si>
    <t>Çili</t>
  </si>
  <si>
    <t>Çin</t>
  </si>
  <si>
    <t>Fransa</t>
  </si>
  <si>
    <t>India</t>
  </si>
  <si>
    <t>Ireland</t>
  </si>
  <si>
    <t>Israel</t>
  </si>
  <si>
    <t>Italy</t>
  </si>
  <si>
    <t>Japan</t>
  </si>
  <si>
    <t>Kanada</t>
  </si>
  <si>
    <t>Kolumbiya</t>
  </si>
  <si>
    <t>Malaysia</t>
  </si>
  <si>
    <t>Mexico</t>
  </si>
  <si>
    <t>Misir</t>
  </si>
  <si>
    <t>Netherlands</t>
  </si>
  <si>
    <t>Peru</t>
  </si>
  <si>
    <t>Poland</t>
  </si>
  <si>
    <t>Romania</t>
  </si>
  <si>
    <t>Russia</t>
  </si>
  <si>
    <t>Saudi Arabia</t>
  </si>
  <si>
    <t>South Africa</t>
  </si>
  <si>
    <t>South Korea</t>
  </si>
  <si>
    <t>Spain</t>
  </si>
  <si>
    <t>Thailand</t>
  </si>
  <si>
    <t>Turkey</t>
  </si>
  <si>
    <t>UAE</t>
  </si>
  <si>
    <t>UK</t>
  </si>
  <si>
    <t>USA</t>
  </si>
  <si>
    <t>Vietnam</t>
  </si>
  <si>
    <t>Mikrodalğalı soba</t>
  </si>
  <si>
    <t>Tozsoran</t>
  </si>
  <si>
    <t>Soba</t>
  </si>
  <si>
    <t>Toster</t>
  </si>
  <si>
    <t>Qəhvə üyüdücü</t>
  </si>
  <si>
    <t>Sərinkeş</t>
  </si>
  <si>
    <t>Blender</t>
  </si>
  <si>
    <t>Qabyuyan maşın</t>
  </si>
  <si>
    <t>Ütü</t>
  </si>
  <si>
    <t>Greece</t>
  </si>
  <si>
    <t>Plan məbləği ən böyük 3cü ədədlə, Plan xərci ən kiçik 3cü ədədin cəmini tapın.</t>
  </si>
  <si>
    <t>Aylar</t>
  </si>
  <si>
    <t>Plan say</t>
  </si>
  <si>
    <t>Plan məbləğ</t>
  </si>
  <si>
    <t>Plan Xərc</t>
  </si>
  <si>
    <t>Plan Qazanc</t>
  </si>
  <si>
    <t>TOPLA.ÇOKETOPLA</t>
  </si>
  <si>
    <t>Bir və ya bir neçə şərtə uyğun olan dəyərləri cəmləyir.</t>
  </si>
  <si>
    <t>СРЗНАЧЕСЛИ</t>
  </si>
  <si>
    <t>ORTALAMA.ÇOKETOPLA</t>
  </si>
  <si>
    <t>Bir və ya bir neçə şərtə uyğun olan dəyərlərin orta qiymətini hesablayır.</t>
  </si>
  <si>
    <t>МАКСЕСЛИ</t>
  </si>
  <si>
    <t>MAK.ÇOKETOPLA</t>
  </si>
  <si>
    <t>Şərtlərə uyğun maksimum dəyəri tapır.</t>
  </si>
  <si>
    <t>МИНЕСЛИ</t>
  </si>
  <si>
    <t>MİN.ÇOKETOPLA</t>
  </si>
  <si>
    <t>Şərtlərə uyğun minimum dəyəri tapır.</t>
  </si>
  <si>
    <t>COUNTIFS</t>
  </si>
  <si>
    <t>СЧЁТЕСЛИМН</t>
  </si>
  <si>
    <t>KAÇTANE.ÇOKETOPLA</t>
  </si>
  <si>
    <t>Bir və ya bir neçə şərtə uyğun olan sətirlərin sayını tapır.</t>
  </si>
  <si>
    <t>БОЛЬШЕ</t>
  </si>
  <si>
    <t>BÜYÜK</t>
  </si>
  <si>
    <t>Məlumat aralığında k-cı ən böyük dəyəri tapır.</t>
  </si>
  <si>
    <t>МЕНЬШЕ</t>
  </si>
  <si>
    <t>KÜÇÜK</t>
  </si>
  <si>
    <t>Məlumat aralığında k-cı ən kiçik dəyəri tapır.</t>
  </si>
  <si>
    <t>SUBTOTAL</t>
  </si>
  <si>
    <t>ПРОМЕЖУТОЧНЫЕ.ИТОГИ</t>
  </si>
  <si>
    <t>ARA.TOPLAM</t>
  </si>
  <si>
    <t>АГРЕГАТ</t>
  </si>
  <si>
    <t>ÖZET</t>
  </si>
  <si>
    <t>Müxtəlif hesablama funksiyalarını (SUM, AVERAGE, MAX və s.) tətbiq edir və əlavə seçimlərlə (gizli sətirləri nəzərə almamaq kimi) hesablama aparır.</t>
  </si>
  <si>
    <t>=SUMIFS(sum_range, criteria_range1, criteria1, [criteria_range2, criteria2], ...)</t>
  </si>
  <si>
    <t>=AVERAGEIFS(average_range, criteria_range1, criteria1, [criteria_range2, criteria2], ...)</t>
  </si>
  <si>
    <t>=MAXIFS(max_range, criteria_range1, criteria1, [criteria_range2, criteria2], …)</t>
  </si>
  <si>
    <t>=MINIFS(min_range, criteria_range1, criteria1, [criteria_range2, criteria2], …)</t>
  </si>
  <si>
    <t>=COUNTIFS(criteria_range1, criteria1, [criteria_range2, criteria2], …)</t>
  </si>
  <si>
    <t>=LARGE(array, k)</t>
  </si>
  <si>
    <t>=SMALL(array, k)</t>
  </si>
  <si>
    <t>=SUBTOTAL(function_num, ref1, [ref2], …)</t>
  </si>
  <si>
    <t>=AGGREGATE(function_num, options, array, [k])</t>
  </si>
  <si>
    <t>Göstərilən funksiyanı (məsələn, cəmləmə, sayma, orta alma və s.) müəyyən sətirlər üçün hesablayır. Filter edilmiş və gizli sətirləri nəzərə almır</t>
  </si>
  <si>
    <t>СУММЕСЛИMN</t>
  </si>
  <si>
    <t>Excel</t>
  </si>
  <si>
    <t>Microsof</t>
  </si>
  <si>
    <t>2024 ilin May ayında edilmiş satışlardan əldə olunan toplam gəlir</t>
  </si>
  <si>
    <t>Saat VMF</t>
  </si>
  <si>
    <t>Smartphone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</si>
</sst>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quot;₼&quot;* #,##0.00_);_(&quot;₼&quot;* \(#,##0.00\);_(&quot;₼&quot;* &quot;-&quot;??_);_(@_)"/>
    <numFmt numFmtId="165" formatCode="_-* #,##0.00\ [$₼-42C]_-;\-* #,##0.00\ [$₼-42C]_-;_-* &quot;-&quot;??\ [$₼-42C]_-;_-@_-"/>
    <numFmt numFmtId="166" formatCode="_-&quot;£&quot;* #,##0.00_-;\-&quot;£&quot;* #,##0.00_-;_-&quot;£&quot;* &quot;-&quot;??_-;_-@_-"/>
    <numFmt numFmtId="167" formatCode="_-* #,##0\ [$₼-42C]_-;\-* #,##0\ [$₼-42C]_-;_-* &quot;-&quot;??\ [$₼-42C]_-;_-@_-"/>
    <numFmt numFmtId="168" formatCode="0\ &quot;ədəd&quot;"/>
    <numFmt numFmtId="169" formatCode="_-[$₼-42C]\ * #,##0.00_-;\-[$₼-42C]\ * #,##0.00_-;_-[$₼-42C]\ * &quot;-&quot;??_-;_-@_-"/>
  </numFmts>
  <fonts count="42" x14ac:knownFonts="1">
    <font>
      <sz val="11"/>
      <color theme="1"/>
      <name val="Aptos Narrow"/>
      <family val="2"/>
      <charset val="186"/>
      <scheme val="minor"/>
    </font>
    <font>
      <sz val="11"/>
      <color theme="1"/>
      <name val="Aptos Narrow"/>
      <family val="2"/>
      <charset val="186"/>
      <scheme val="minor"/>
    </font>
    <font>
      <sz val="11"/>
      <color theme="1"/>
      <name val="Aptos Narrow"/>
      <family val="2"/>
      <scheme val="minor"/>
    </font>
    <font>
      <b/>
      <sz val="14"/>
      <name val="Aptos Display"/>
      <family val="2"/>
      <scheme val="major"/>
    </font>
    <font>
      <sz val="11"/>
      <color theme="1"/>
      <name val="Palatino Linotype"/>
      <family val="2"/>
      <charset val="186"/>
    </font>
    <font>
      <b/>
      <sz val="11"/>
      <color theme="1"/>
      <name val="Aptos Narrow"/>
      <family val="2"/>
      <charset val="186"/>
      <scheme val="minor"/>
    </font>
    <font>
      <b/>
      <sz val="14"/>
      <name val="Aptos Display"/>
      <family val="2"/>
      <charset val="186"/>
      <scheme val="major"/>
    </font>
    <font>
      <sz val="11"/>
      <color theme="0"/>
      <name val="Palatino Linotype"/>
      <family val="1"/>
    </font>
    <font>
      <sz val="12"/>
      <color theme="0"/>
      <name val="Palatino Linotype"/>
      <family val="1"/>
    </font>
    <font>
      <sz val="12"/>
      <color theme="1"/>
      <name val="Arial"/>
      <family val="2"/>
      <charset val="186"/>
    </font>
    <font>
      <b/>
      <sz val="12"/>
      <color theme="1"/>
      <name val="Palatino Linotype"/>
      <family val="1"/>
    </font>
    <font>
      <sz val="12"/>
      <color theme="1"/>
      <name val="Palatino Linotype"/>
      <family val="1"/>
    </font>
    <font>
      <b/>
      <sz val="14"/>
      <color theme="0"/>
      <name val="Palatino Linotype"/>
      <family val="1"/>
    </font>
    <font>
      <sz val="11"/>
      <color theme="1"/>
      <name val="Palatino Linotype"/>
      <family val="1"/>
    </font>
    <font>
      <b/>
      <sz val="14"/>
      <color theme="1"/>
      <name val="Palatino Linotype"/>
      <family val="1"/>
    </font>
    <font>
      <sz val="14"/>
      <color theme="1"/>
      <name val="Palatino Linotype"/>
      <family val="1"/>
    </font>
    <font>
      <sz val="14"/>
      <color theme="0"/>
      <name val="Palatino Linotype"/>
      <family val="1"/>
    </font>
    <font>
      <b/>
      <sz val="14"/>
      <color rgb="FFFF0000"/>
      <name val="Palatino Linotype"/>
      <family val="1"/>
    </font>
    <font>
      <b/>
      <sz val="11"/>
      <color theme="0"/>
      <name val="Palatino Linotype"/>
      <family val="1"/>
    </font>
    <font>
      <b/>
      <sz val="12"/>
      <color theme="0"/>
      <name val="Palatino Linotype"/>
      <family val="1"/>
    </font>
    <font>
      <b/>
      <sz val="11"/>
      <color theme="1"/>
      <name val="Palatino Linotype"/>
      <family val="1"/>
    </font>
    <font>
      <b/>
      <sz val="14"/>
      <color theme="1"/>
      <name val="Aptos Narrow"/>
      <family val="2"/>
      <scheme val="minor"/>
    </font>
    <font>
      <sz val="14"/>
      <color theme="1"/>
      <name val="Aptos Narrow"/>
      <family val="2"/>
      <scheme val="minor"/>
    </font>
    <font>
      <b/>
      <sz val="12"/>
      <color theme="1"/>
      <name val="Arial"/>
      <family val="2"/>
    </font>
    <font>
      <sz val="12"/>
      <color theme="1"/>
      <name val="Arial"/>
      <family val="2"/>
    </font>
    <font>
      <b/>
      <sz val="12"/>
      <color theme="0"/>
      <name val="Arial"/>
      <family val="2"/>
    </font>
    <font>
      <b/>
      <sz val="11"/>
      <color theme="0"/>
      <name val="Aptos Narrow"/>
      <family val="2"/>
      <charset val="186"/>
      <scheme val="minor"/>
    </font>
    <font>
      <sz val="12"/>
      <color theme="1"/>
      <name val="Times New Roman"/>
      <family val="1"/>
    </font>
    <font>
      <b/>
      <sz val="12"/>
      <color theme="1"/>
      <name val="Aptos"/>
      <family val="2"/>
    </font>
    <font>
      <sz val="12"/>
      <color theme="1"/>
      <name val="Aptos"/>
      <family val="2"/>
    </font>
    <font>
      <sz val="14"/>
      <color theme="1"/>
      <name val="Aptos"/>
      <family val="2"/>
    </font>
    <font>
      <b/>
      <sz val="14"/>
      <color theme="1"/>
      <name val="Aptos"/>
      <family val="2"/>
    </font>
    <font>
      <b/>
      <sz val="11"/>
      <color theme="0"/>
      <name val="Palatino Linotype"/>
      <family val="2"/>
      <charset val="186"/>
    </font>
    <font>
      <sz val="10"/>
      <name val="Arial"/>
      <family val="2"/>
    </font>
    <font>
      <sz val="11"/>
      <name val="Palatino Linotype"/>
      <family val="1"/>
    </font>
    <font>
      <b/>
      <sz val="12"/>
      <name val="Palatino Linotype"/>
      <family val="1"/>
    </font>
    <font>
      <b/>
      <sz val="14"/>
      <color theme="1"/>
      <name val="Palatino Linotype"/>
      <family val="1"/>
      <charset val="204"/>
    </font>
    <font>
      <sz val="14"/>
      <color theme="1"/>
      <name val="Aptos Narrow"/>
      <family val="2"/>
      <charset val="186"/>
      <scheme val="minor"/>
    </font>
    <font>
      <sz val="14"/>
      <color theme="1"/>
      <name val="Palatino Linotype"/>
      <family val="1"/>
      <charset val="204"/>
    </font>
    <font>
      <b/>
      <sz val="14"/>
      <color theme="0"/>
      <name val="Aptos Narrow"/>
      <family val="2"/>
      <scheme val="minor"/>
    </font>
    <font>
      <b/>
      <sz val="14"/>
      <color theme="1"/>
      <name val="Aptos Narrow"/>
      <family val="2"/>
      <charset val="204"/>
      <scheme val="minor"/>
    </font>
    <font>
      <sz val="16"/>
      <color theme="1"/>
      <name val="Times New Roman"/>
      <family val="1"/>
    </font>
  </fonts>
  <fills count="33">
    <fill>
      <patternFill patternType="none"/>
    </fill>
    <fill>
      <patternFill patternType="gray125"/>
    </fill>
    <fill>
      <patternFill patternType="solid">
        <fgColor rgb="FF002060"/>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3" tint="0.89999084444715716"/>
        <bgColor indexed="64"/>
      </patternFill>
    </fill>
    <fill>
      <patternFill patternType="solid">
        <fgColor rgb="FFFFCC99"/>
        <bgColor indexed="64"/>
      </patternFill>
    </fill>
    <fill>
      <patternFill patternType="solid">
        <fgColor theme="6"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bgColor theme="5"/>
      </patternFill>
    </fill>
    <fill>
      <patternFill patternType="solid">
        <fgColor theme="4" tint="0.79998168889431442"/>
        <bgColor theme="4" tint="0.79998168889431442"/>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4" tint="0.59999389629810485"/>
        <bgColor theme="4" tint="0.59999389629810485"/>
      </patternFill>
    </fill>
    <fill>
      <patternFill patternType="solid">
        <fgColor theme="4" tint="-0.249977111117893"/>
        <bgColor indexed="64"/>
      </patternFill>
    </fill>
    <fill>
      <patternFill patternType="solid">
        <fgColor theme="9" tint="-0.249977111117893"/>
        <bgColor indexed="64"/>
      </patternFill>
    </fill>
    <fill>
      <patternFill patternType="solid">
        <fgColor theme="9"/>
        <bgColor theme="9"/>
      </patternFill>
    </fill>
    <fill>
      <patternFill patternType="solid">
        <fgColor theme="8"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diagonal/>
    </border>
    <border>
      <left style="thin">
        <color indexed="64"/>
      </left>
      <right style="thin">
        <color indexed="64"/>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9"/>
      </left>
      <right style="thin">
        <color indexed="64"/>
      </right>
      <top style="thin">
        <color theme="9"/>
      </top>
      <bottom style="thin">
        <color indexed="64"/>
      </bottom>
      <diagonal/>
    </border>
    <border>
      <left style="thin">
        <color theme="9"/>
      </left>
      <right/>
      <top style="thin">
        <color indexed="64"/>
      </top>
      <bottom/>
      <diagonal/>
    </border>
    <border>
      <left style="thin">
        <color theme="9"/>
      </left>
      <right style="thin">
        <color indexed="64"/>
      </right>
      <top style="thin">
        <color indexed="64"/>
      </top>
      <bottom/>
      <diagonal/>
    </border>
    <border>
      <left style="thin">
        <color indexed="64"/>
      </left>
      <right/>
      <top style="medium">
        <color theme="9"/>
      </top>
      <bottom/>
      <diagonal/>
    </border>
    <border>
      <left style="thin">
        <color theme="9"/>
      </left>
      <right/>
      <top style="medium">
        <color theme="9"/>
      </top>
      <bottom/>
      <diagonal/>
    </border>
    <border>
      <left style="thin">
        <color theme="9"/>
      </left>
      <right style="thin">
        <color indexed="64"/>
      </right>
      <top style="medium">
        <color theme="9"/>
      </top>
      <bottom/>
      <diagonal/>
    </border>
    <border>
      <left style="thin">
        <color indexed="64"/>
      </left>
      <right/>
      <top style="thin">
        <color theme="9"/>
      </top>
      <bottom/>
      <diagonal/>
    </border>
    <border>
      <left style="thin">
        <color theme="9"/>
      </left>
      <right/>
      <top style="thin">
        <color theme="9"/>
      </top>
      <bottom/>
      <diagonal/>
    </border>
    <border>
      <left style="thin">
        <color theme="9"/>
      </left>
      <right style="thin">
        <color indexed="64"/>
      </right>
      <top style="thin">
        <color theme="9"/>
      </top>
      <bottom/>
      <diagonal/>
    </border>
    <border>
      <left style="thin">
        <color indexed="64"/>
      </left>
      <right/>
      <top style="thin">
        <color theme="9"/>
      </top>
      <bottom style="thin">
        <color indexed="64"/>
      </bottom>
      <diagonal/>
    </border>
    <border>
      <left style="thin">
        <color theme="9"/>
      </left>
      <right/>
      <top style="thin">
        <color theme="9"/>
      </top>
      <bottom style="thin">
        <color indexed="64"/>
      </bottom>
      <diagonal/>
    </border>
    <border>
      <left/>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9" fontId="1" fillId="0" borderId="0" applyFont="0" applyFill="0" applyBorder="0" applyAlignment="0" applyProtection="0"/>
    <xf numFmtId="166" fontId="2" fillId="0" borderId="0" applyFont="0" applyFill="0" applyBorder="0" applyAlignment="0" applyProtection="0"/>
    <xf numFmtId="0" fontId="9" fillId="0" borderId="0"/>
    <xf numFmtId="0" fontId="9" fillId="0" borderId="0"/>
    <xf numFmtId="0" fontId="2" fillId="0" borderId="0"/>
    <xf numFmtId="0" fontId="33" fillId="0" borderId="0"/>
  </cellStyleXfs>
  <cellXfs count="161">
    <xf numFmtId="0" fontId="0" fillId="0" borderId="0" xfId="0"/>
    <xf numFmtId="0" fontId="0" fillId="0" borderId="0" xfId="0" applyAlignment="1">
      <alignment horizontal="left" vertical="center" wrapText="1"/>
    </xf>
    <xf numFmtId="0" fontId="3" fillId="3" borderId="0" xfId="0" applyFont="1" applyFill="1" applyAlignment="1">
      <alignment horizontal="left" vertical="center" wrapText="1"/>
    </xf>
    <xf numFmtId="0" fontId="6" fillId="3" borderId="0" xfId="0" applyFont="1" applyFill="1" applyAlignment="1">
      <alignment horizontal="left" vertical="center" wrapText="1"/>
    </xf>
    <xf numFmtId="0" fontId="5" fillId="0" borderId="0" xfId="0" applyFont="1" applyAlignment="1">
      <alignment horizontal="left" vertical="center" wrapText="1"/>
    </xf>
    <xf numFmtId="0" fontId="0" fillId="2" borderId="0" xfId="0" applyFill="1"/>
    <xf numFmtId="0" fontId="0" fillId="4" borderId="0" xfId="0" applyFill="1"/>
    <xf numFmtId="0" fontId="7" fillId="2" borderId="0" xfId="0"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0" fillId="0" borderId="1" xfId="0" applyBorder="1"/>
    <xf numFmtId="0" fontId="10" fillId="7"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1" fillId="0" borderId="0" xfId="0" applyFont="1"/>
    <xf numFmtId="0" fontId="10" fillId="9" borderId="5" xfId="0" applyFont="1" applyFill="1" applyBorder="1" applyAlignment="1">
      <alignment horizontal="center" vertical="center" wrapText="1"/>
    </xf>
    <xf numFmtId="0" fontId="11" fillId="10" borderId="6" xfId="0" applyFont="1" applyFill="1" applyBorder="1" applyAlignment="1">
      <alignment horizontal="center" vertical="center" wrapText="1"/>
    </xf>
    <xf numFmtId="0" fontId="11" fillId="11" borderId="6"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0" fillId="9" borderId="3"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0" fillId="9"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6" xfId="0" quotePrefix="1" applyFont="1" applyBorder="1" applyAlignment="1">
      <alignment horizontal="center" vertical="center" wrapText="1"/>
    </xf>
    <xf numFmtId="0" fontId="11" fillId="0" borderId="1" xfId="0" quotePrefix="1" applyFont="1" applyBorder="1" applyAlignment="1">
      <alignment horizontal="center" vertical="center" wrapText="1"/>
    </xf>
    <xf numFmtId="0" fontId="12" fillId="12" borderId="1" xfId="0" applyFont="1" applyFill="1" applyBorder="1" applyAlignment="1">
      <alignment horizontal="center" vertical="center"/>
    </xf>
    <xf numFmtId="0" fontId="12" fillId="12" borderId="11" xfId="0" applyFont="1" applyFill="1" applyBorder="1" applyAlignment="1">
      <alignment horizontal="center" vertical="center"/>
    </xf>
    <xf numFmtId="0" fontId="13" fillId="0" borderId="0" xfId="0" applyFont="1"/>
    <xf numFmtId="0" fontId="15" fillId="0" borderId="1" xfId="0" applyFont="1" applyBorder="1" applyAlignment="1">
      <alignment horizontal="center" vertical="center"/>
    </xf>
    <xf numFmtId="165" fontId="15" fillId="0" borderId="1" xfId="0" applyNumberFormat="1" applyFont="1" applyBorder="1" applyAlignment="1">
      <alignment horizontal="center" vertical="center"/>
    </xf>
    <xf numFmtId="165" fontId="15" fillId="0" borderId="1" xfId="5" applyNumberFormat="1" applyFont="1" applyBorder="1" applyAlignment="1">
      <alignment horizontal="center" vertical="center"/>
    </xf>
    <xf numFmtId="14" fontId="15" fillId="0" borderId="1" xfId="5" applyNumberFormat="1" applyFont="1" applyBorder="1" applyAlignment="1">
      <alignment horizontal="center" vertical="center"/>
    </xf>
    <xf numFmtId="0" fontId="16" fillId="2" borderId="0" xfId="0" applyFont="1" applyFill="1"/>
    <xf numFmtId="0" fontId="16" fillId="12" borderId="0" xfId="0" applyFont="1" applyFill="1"/>
    <xf numFmtId="0" fontId="17" fillId="0" borderId="0" xfId="0" applyFont="1"/>
    <xf numFmtId="0" fontId="18" fillId="2" borderId="1" xfId="0" applyFont="1" applyFill="1" applyBorder="1" applyAlignment="1">
      <alignment horizontal="center" vertical="center"/>
    </xf>
    <xf numFmtId="165" fontId="18" fillId="2" borderId="1" xfId="5" applyNumberFormat="1" applyFont="1" applyFill="1" applyBorder="1" applyAlignment="1">
      <alignment horizontal="center" vertical="center"/>
    </xf>
    <xf numFmtId="0" fontId="13" fillId="0" borderId="0" xfId="0" applyFont="1" applyAlignment="1">
      <alignment vertical="center"/>
    </xf>
    <xf numFmtId="0" fontId="19" fillId="2" borderId="1" xfId="0" applyFont="1" applyFill="1" applyBorder="1" applyAlignment="1">
      <alignment vertical="center"/>
    </xf>
    <xf numFmtId="0" fontId="18" fillId="12" borderId="0" xfId="0" applyFont="1" applyFill="1" applyAlignment="1">
      <alignment vertical="center"/>
    </xf>
    <xf numFmtId="0" fontId="13" fillId="0" borderId="1" xfId="0" applyFont="1" applyBorder="1" applyAlignment="1">
      <alignment vertical="center"/>
    </xf>
    <xf numFmtId="0" fontId="13" fillId="0" borderId="1" xfId="0" applyFont="1" applyBorder="1" applyAlignment="1">
      <alignment horizontal="center" vertical="center"/>
    </xf>
    <xf numFmtId="165" fontId="13" fillId="0" borderId="1" xfId="5" applyNumberFormat="1" applyFont="1" applyBorder="1" applyAlignment="1">
      <alignment vertical="center"/>
    </xf>
    <xf numFmtId="0" fontId="20" fillId="0" borderId="1" xfId="0" applyFont="1" applyBorder="1" applyAlignment="1">
      <alignment horizontal="center" vertical="center"/>
    </xf>
    <xf numFmtId="0" fontId="13" fillId="0" borderId="1" xfId="0" applyFont="1" applyBorder="1"/>
    <xf numFmtId="0" fontId="11" fillId="0" borderId="1" xfId="0" applyFont="1" applyBorder="1"/>
    <xf numFmtId="0" fontId="11" fillId="0" borderId="1" xfId="0" applyFont="1" applyBorder="1" applyAlignment="1">
      <alignment vertical="center"/>
    </xf>
    <xf numFmtId="0" fontId="13" fillId="0" borderId="0" xfId="0" applyFont="1" applyAlignment="1">
      <alignment horizontal="center" vertical="center"/>
    </xf>
    <xf numFmtId="165" fontId="13" fillId="0" borderId="0" xfId="5" applyNumberFormat="1" applyFont="1" applyAlignment="1">
      <alignment vertical="center"/>
    </xf>
    <xf numFmtId="0" fontId="22" fillId="15" borderId="1" xfId="0" applyFont="1" applyFill="1" applyBorder="1"/>
    <xf numFmtId="0" fontId="14" fillId="16" borderId="0" xfId="0" applyFont="1" applyFill="1"/>
    <xf numFmtId="0" fontId="13" fillId="0" borderId="1" xfId="0" applyFont="1" applyBorder="1" applyAlignment="1">
      <alignment wrapText="1"/>
    </xf>
    <xf numFmtId="0" fontId="22" fillId="15" borderId="1" xfId="0" applyFont="1" applyFill="1" applyBorder="1" applyAlignment="1">
      <alignment horizontal="left" vertical="center"/>
    </xf>
    <xf numFmtId="0" fontId="13" fillId="0" borderId="1" xfId="0" applyFont="1" applyBorder="1" applyAlignment="1">
      <alignment vertical="center" wrapText="1"/>
    </xf>
    <xf numFmtId="0" fontId="20" fillId="15" borderId="1" xfId="0" applyFont="1" applyFill="1" applyBorder="1" applyAlignment="1">
      <alignment horizontal="center" vertical="center"/>
    </xf>
    <xf numFmtId="0" fontId="24" fillId="0" borderId="0" xfId="0" applyFont="1"/>
    <xf numFmtId="0" fontId="24" fillId="0" borderId="1" xfId="0" applyFont="1" applyBorder="1" applyAlignment="1">
      <alignment horizontal="center" vertical="center"/>
    </xf>
    <xf numFmtId="0" fontId="24" fillId="0" borderId="0" xfId="0" applyFont="1" applyAlignment="1">
      <alignment horizontal="center" vertical="center"/>
    </xf>
    <xf numFmtId="0" fontId="23" fillId="14" borderId="1" xfId="0" applyFont="1" applyFill="1" applyBorder="1" applyAlignment="1">
      <alignment horizontal="center" vertical="center"/>
    </xf>
    <xf numFmtId="167" fontId="24" fillId="0" borderId="1" xfId="0" applyNumberFormat="1" applyFont="1" applyBorder="1" applyAlignment="1">
      <alignment horizontal="center" vertical="center"/>
    </xf>
    <xf numFmtId="14" fontId="24" fillId="0" borderId="0" xfId="0" applyNumberFormat="1" applyFont="1"/>
    <xf numFmtId="14" fontId="24" fillId="0" borderId="1" xfId="0" applyNumberFormat="1" applyFont="1" applyBorder="1"/>
    <xf numFmtId="0" fontId="23" fillId="17" borderId="1" xfId="0" applyFont="1" applyFill="1" applyBorder="1" applyAlignment="1">
      <alignment horizontal="center" vertical="center"/>
    </xf>
    <xf numFmtId="0" fontId="23" fillId="6" borderId="1" xfId="0" applyFont="1" applyFill="1" applyBorder="1" applyAlignment="1">
      <alignment horizontal="center" vertical="center"/>
    </xf>
    <xf numFmtId="0" fontId="23" fillId="3" borderId="1" xfId="0" applyFont="1" applyFill="1" applyBorder="1" applyAlignment="1">
      <alignment horizontal="center" vertical="center"/>
    </xf>
    <xf numFmtId="0" fontId="25" fillId="20" borderId="1" xfId="0" applyFont="1" applyFill="1" applyBorder="1" applyAlignment="1">
      <alignment horizontal="center" vertical="center"/>
    </xf>
    <xf numFmtId="0" fontId="26" fillId="21" borderId="1" xfId="0" applyFont="1" applyFill="1" applyBorder="1"/>
    <xf numFmtId="0" fontId="27" fillId="0" borderId="0" xfId="0" applyFont="1"/>
    <xf numFmtId="14" fontId="0" fillId="0" borderId="1" xfId="0" applyNumberFormat="1" applyBorder="1"/>
    <xf numFmtId="0" fontId="28" fillId="13" borderId="1" xfId="0" applyFont="1" applyFill="1" applyBorder="1" applyAlignment="1">
      <alignment horizontal="center" vertical="center" wrapText="1"/>
    </xf>
    <xf numFmtId="0" fontId="29" fillId="0" borderId="0" xfId="0" applyFont="1"/>
    <xf numFmtId="0" fontId="29" fillId="0" borderId="1" xfId="0" applyFont="1" applyBorder="1" applyAlignment="1">
      <alignment vertical="center" wrapText="1"/>
    </xf>
    <xf numFmtId="14" fontId="29" fillId="0" borderId="1" xfId="0" applyNumberFormat="1" applyFont="1" applyBorder="1" applyAlignment="1">
      <alignment vertical="center" wrapText="1"/>
    </xf>
    <xf numFmtId="0" fontId="31" fillId="23" borderId="1" xfId="0" applyFont="1" applyFill="1" applyBorder="1"/>
    <xf numFmtId="0" fontId="29" fillId="0" borderId="1" xfId="0" applyFont="1" applyBorder="1"/>
    <xf numFmtId="14" fontId="32" fillId="24" borderId="0" xfId="0" applyNumberFormat="1" applyFont="1" applyFill="1" applyAlignment="1">
      <alignment horizontal="center" vertical="center"/>
    </xf>
    <xf numFmtId="0" fontId="32" fillId="24" borderId="12" xfId="0" applyFont="1" applyFill="1" applyBorder="1" applyAlignment="1">
      <alignment horizontal="center" vertical="center"/>
    </xf>
    <xf numFmtId="0" fontId="2" fillId="0" borderId="0" xfId="9"/>
    <xf numFmtId="14" fontId="0" fillId="26" borderId="13" xfId="0" applyNumberFormat="1" applyFill="1" applyBorder="1" applyAlignment="1">
      <alignment horizontal="center" vertical="center"/>
    </xf>
    <xf numFmtId="0" fontId="0" fillId="26" borderId="14" xfId="0" applyFill="1" applyBorder="1" applyAlignment="1">
      <alignment horizontal="center" vertical="center"/>
    </xf>
    <xf numFmtId="14" fontId="0" fillId="27" borderId="15" xfId="0" applyNumberFormat="1" applyFill="1" applyBorder="1" applyAlignment="1">
      <alignment horizontal="center" vertical="center"/>
    </xf>
    <xf numFmtId="0" fontId="0" fillId="27" borderId="16" xfId="0" applyFill="1" applyBorder="1" applyAlignment="1">
      <alignment horizontal="center" vertical="center"/>
    </xf>
    <xf numFmtId="14" fontId="0" fillId="26" borderId="15" xfId="0" applyNumberFormat="1" applyFill="1" applyBorder="1" applyAlignment="1">
      <alignment horizontal="center" vertical="center"/>
    </xf>
    <xf numFmtId="0" fontId="0" fillId="26" borderId="16" xfId="0" applyFill="1" applyBorder="1" applyAlignment="1">
      <alignment horizontal="center" vertical="center"/>
    </xf>
    <xf numFmtId="168" fontId="35" fillId="28" borderId="1" xfId="6" applyNumberFormat="1" applyFont="1" applyFill="1" applyBorder="1" applyAlignment="1">
      <alignment horizontal="center" vertical="center"/>
    </xf>
    <xf numFmtId="14" fontId="2" fillId="0" borderId="0" xfId="9" applyNumberFormat="1"/>
    <xf numFmtId="0" fontId="36" fillId="15" borderId="10" xfId="0" applyFont="1" applyFill="1" applyBorder="1"/>
    <xf numFmtId="0" fontId="36" fillId="15" borderId="18" xfId="0" applyFont="1" applyFill="1" applyBorder="1" applyAlignment="1">
      <alignment vertical="center"/>
    </xf>
    <xf numFmtId="0" fontId="36" fillId="15" borderId="19" xfId="0" applyFont="1" applyFill="1" applyBorder="1"/>
    <xf numFmtId="0" fontId="37" fillId="0" borderId="0" xfId="0" applyFont="1"/>
    <xf numFmtId="0" fontId="38" fillId="0" borderId="20" xfId="0" applyFont="1" applyBorder="1"/>
    <xf numFmtId="0" fontId="38" fillId="0" borderId="21" xfId="0" applyFont="1" applyBorder="1"/>
    <xf numFmtId="0" fontId="38" fillId="0" borderId="22" xfId="0" applyFont="1" applyBorder="1"/>
    <xf numFmtId="0" fontId="38" fillId="0" borderId="23" xfId="0" applyFont="1" applyBorder="1"/>
    <xf numFmtId="0" fontId="38" fillId="0" borderId="24" xfId="0" applyFont="1" applyBorder="1"/>
    <xf numFmtId="0" fontId="38" fillId="0" borderId="25" xfId="0" applyFont="1" applyBorder="1"/>
    <xf numFmtId="0" fontId="38" fillId="0" borderId="26" xfId="0" applyFont="1" applyBorder="1"/>
    <xf numFmtId="0" fontId="38" fillId="0" borderId="27" xfId="0" applyFont="1" applyBorder="1"/>
    <xf numFmtId="0" fontId="38" fillId="0" borderId="17" xfId="0" applyFont="1" applyBorder="1"/>
    <xf numFmtId="0" fontId="21" fillId="16" borderId="1" xfId="0" applyFont="1" applyFill="1" applyBorder="1"/>
    <xf numFmtId="0" fontId="39" fillId="29" borderId="1" xfId="0" applyFont="1" applyFill="1" applyBorder="1"/>
    <xf numFmtId="0" fontId="21" fillId="22" borderId="1" xfId="0" applyFont="1" applyFill="1" applyBorder="1"/>
    <xf numFmtId="0" fontId="39" fillId="30" borderId="1" xfId="0" applyFont="1" applyFill="1" applyBorder="1"/>
    <xf numFmtId="0" fontId="22" fillId="0" borderId="0" xfId="0" applyFont="1"/>
    <xf numFmtId="0" fontId="24" fillId="0" borderId="1" xfId="4" applyFont="1" applyBorder="1"/>
    <xf numFmtId="0" fontId="24" fillId="0" borderId="0" xfId="4" applyFont="1"/>
    <xf numFmtId="14" fontId="24" fillId="0" borderId="0" xfId="4" applyNumberFormat="1" applyFont="1"/>
    <xf numFmtId="0" fontId="25" fillId="31" borderId="1" xfId="4" applyFont="1" applyFill="1" applyBorder="1" applyAlignment="1">
      <alignment horizontal="center" vertical="center"/>
    </xf>
    <xf numFmtId="14" fontId="25" fillId="31" borderId="1" xfId="4" applyNumberFormat="1" applyFont="1" applyFill="1" applyBorder="1" applyAlignment="1">
      <alignment horizontal="center" vertical="center"/>
    </xf>
    <xf numFmtId="0" fontId="24" fillId="0" borderId="1" xfId="4" applyFont="1" applyBorder="1" applyAlignment="1">
      <alignment horizontal="center"/>
    </xf>
    <xf numFmtId="169" fontId="24" fillId="0" borderId="1" xfId="4" applyNumberFormat="1" applyFont="1" applyBorder="1" applyAlignment="1">
      <alignment horizontal="center"/>
    </xf>
    <xf numFmtId="14" fontId="24" fillId="0" borderId="1" xfId="4" applyNumberFormat="1" applyFont="1" applyBorder="1" applyAlignment="1">
      <alignment horizontal="center"/>
    </xf>
    <xf numFmtId="0" fontId="23" fillId="32" borderId="1" xfId="4" applyFont="1" applyFill="1" applyBorder="1"/>
    <xf numFmtId="0" fontId="23" fillId="18" borderId="1" xfId="4" applyFont="1" applyFill="1" applyBorder="1"/>
    <xf numFmtId="0" fontId="23" fillId="15" borderId="1" xfId="4" applyFont="1" applyFill="1" applyBorder="1"/>
    <xf numFmtId="0" fontId="27" fillId="0" borderId="0" xfId="0" applyFont="1" applyAlignment="1">
      <alignment horizontal="center"/>
    </xf>
    <xf numFmtId="0" fontId="27" fillId="0" borderId="0" xfId="0" applyFont="1" applyAlignment="1">
      <alignment horizontal="center" vertical="top"/>
    </xf>
    <xf numFmtId="0" fontId="27" fillId="0" borderId="1" xfId="0" applyFont="1" applyBorder="1"/>
    <xf numFmtId="169" fontId="24" fillId="0" borderId="1" xfId="4" applyNumberFormat="1" applyFont="1" applyBorder="1"/>
    <xf numFmtId="0" fontId="21" fillId="14" borderId="0" xfId="0" applyFont="1" applyFill="1" applyAlignment="1">
      <alignment horizontal="center"/>
    </xf>
    <xf numFmtId="0" fontId="22" fillId="0" borderId="1" xfId="0" applyFont="1" applyBorder="1"/>
    <xf numFmtId="0" fontId="22" fillId="0" borderId="1" xfId="0" applyFont="1" applyBorder="1" applyAlignment="1">
      <alignment horizontal="left" vertical="center"/>
    </xf>
    <xf numFmtId="0" fontId="21" fillId="16" borderId="0" xfId="0" applyFont="1" applyFill="1" applyAlignment="1">
      <alignment horizontal="center"/>
    </xf>
    <xf numFmtId="0" fontId="23" fillId="18" borderId="1" xfId="0" applyFont="1" applyFill="1" applyBorder="1" applyAlignment="1">
      <alignment horizontal="center" vertical="center"/>
    </xf>
    <xf numFmtId="0" fontId="25" fillId="19" borderId="1" xfId="0" applyFont="1" applyFill="1" applyBorder="1" applyAlignment="1">
      <alignment horizontal="center" vertical="center"/>
    </xf>
    <xf numFmtId="0" fontId="24" fillId="0" borderId="1" xfId="0" applyFont="1" applyBorder="1" applyAlignment="1">
      <alignment horizont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30" fillId="22" borderId="0" xfId="0" applyFont="1" applyFill="1" applyAlignment="1">
      <alignment horizontal="center" vertical="center" wrapText="1"/>
    </xf>
    <xf numFmtId="0" fontId="26" fillId="21" borderId="2" xfId="0" applyFont="1" applyFill="1" applyBorder="1" applyAlignment="1">
      <alignment horizontal="center"/>
    </xf>
    <xf numFmtId="0" fontId="26" fillId="21" borderId="3" xfId="0" applyFont="1" applyFill="1" applyBorder="1" applyAlignment="1">
      <alignment horizontal="center"/>
    </xf>
    <xf numFmtId="0" fontId="27" fillId="0" borderId="2" xfId="0" applyFont="1" applyBorder="1" applyAlignment="1">
      <alignment horizontal="center"/>
    </xf>
    <xf numFmtId="0" fontId="27" fillId="0" borderId="3" xfId="0" applyFont="1" applyBorder="1" applyAlignment="1">
      <alignment horizontal="center"/>
    </xf>
    <xf numFmtId="0" fontId="34" fillId="25" borderId="1" xfId="10" applyFont="1" applyFill="1" applyBorder="1" applyAlignment="1">
      <alignment horizontal="center" vertical="center" wrapText="1"/>
    </xf>
    <xf numFmtId="0" fontId="14" fillId="13" borderId="0" xfId="0" applyFont="1" applyFill="1" applyAlignment="1">
      <alignment horizontal="center"/>
    </xf>
    <xf numFmtId="0" fontId="14" fillId="13" borderId="4" xfId="0" applyFont="1" applyFill="1" applyBorder="1" applyAlignment="1">
      <alignment horizontal="center"/>
    </xf>
    <xf numFmtId="0" fontId="37" fillId="0" borderId="0" xfId="0" applyFont="1" applyAlignment="1">
      <alignment horizontal="center"/>
    </xf>
    <xf numFmtId="0" fontId="40" fillId="5" borderId="0" xfId="0" applyFont="1" applyFill="1" applyAlignment="1">
      <alignment horizontal="center" vertical="center"/>
    </xf>
    <xf numFmtId="0" fontId="40" fillId="0" borderId="2" xfId="0" applyFont="1" applyBorder="1" applyAlignment="1">
      <alignment horizontal="center" vertical="center"/>
    </xf>
    <xf numFmtId="0" fontId="40" fillId="0" borderId="28" xfId="0" applyFont="1" applyBorder="1" applyAlignment="1">
      <alignment horizontal="center" vertical="center"/>
    </xf>
    <xf numFmtId="0" fontId="40" fillId="0" borderId="3" xfId="0" applyFont="1" applyBorder="1" applyAlignment="1">
      <alignment horizontal="center" vertical="center"/>
    </xf>
    <xf numFmtId="0" fontId="40" fillId="0" borderId="0" xfId="0" applyFont="1" applyAlignment="1">
      <alignment horizontal="center" vertical="center"/>
    </xf>
    <xf numFmtId="0" fontId="41" fillId="0" borderId="1" xfId="0" applyFont="1" applyBorder="1" applyAlignment="1">
      <alignment horizontal="center" vertical="center" wrapText="1"/>
    </xf>
    <xf numFmtId="165" fontId="13" fillId="0" borderId="1" xfId="0" applyNumberFormat="1" applyFont="1" applyBorder="1"/>
    <xf numFmtId="0" fontId="15" fillId="23" borderId="1" xfId="0" applyFont="1" applyFill="1" applyBorder="1" applyAlignment="1">
      <alignment horizontal="center" vertical="center"/>
    </xf>
    <xf numFmtId="0" fontId="15" fillId="3" borderId="1" xfId="0" applyFont="1" applyFill="1" applyBorder="1" applyAlignment="1">
      <alignment horizontal="center" vertical="center"/>
    </xf>
    <xf numFmtId="165" fontId="15" fillId="7" borderId="1" xfId="0" applyNumberFormat="1" applyFont="1" applyFill="1" applyBorder="1" applyAlignment="1">
      <alignment horizontal="center" vertical="center"/>
    </xf>
    <xf numFmtId="165" fontId="13" fillId="0" borderId="0" xfId="0" applyNumberFormat="1" applyFont="1"/>
    <xf numFmtId="0" fontId="13" fillId="7" borderId="1" xfId="0" applyFont="1" applyFill="1" applyBorder="1" applyAlignment="1">
      <alignment vertical="center"/>
    </xf>
    <xf numFmtId="0" fontId="0" fillId="0" borderId="9" xfId="0" applyNumberFormat="1" applyBorder="1" applyAlignment="1">
      <alignment horizontal="center"/>
    </xf>
    <xf numFmtId="0" fontId="0" fillId="0" borderId="11" xfId="0" applyNumberFormat="1" applyBorder="1" applyAlignment="1">
      <alignment horizontal="center"/>
    </xf>
    <xf numFmtId="0" fontId="0" fillId="0" borderId="6" xfId="0" applyNumberFormat="1" applyBorder="1" applyAlignment="1">
      <alignment horizontal="center"/>
    </xf>
  </cellXfs>
  <cellStyles count="11">
    <cellStyle name="Comma 2" xfId="3" xr:uid="{12D2E940-8AC8-4166-9BF3-B3F1151C2B7D}"/>
    <cellStyle name="Currency 2" xfId="6" xr:uid="{C211CC92-D8E8-404F-A783-0BDD96235A51}"/>
    <cellStyle name="Currency 3 2" xfId="1" xr:uid="{895299F3-AC17-4955-9372-2F84E4BE05D5}"/>
    <cellStyle name="Normal" xfId="0" builtinId="0"/>
    <cellStyle name="Normal 2" xfId="4" xr:uid="{EDFC620F-4827-4BBE-AFE3-CC69905C125D}"/>
    <cellStyle name="Normal 2 2" xfId="8" xr:uid="{775BCB5E-A741-42BA-85EE-C8F86114F042}"/>
    <cellStyle name="Normal 2 4" xfId="2" xr:uid="{28DE81FC-DA9F-4682-9094-DC0771DE70EE}"/>
    <cellStyle name="Normal 3" xfId="7" xr:uid="{7ABF1D5C-DA51-4D97-86E6-89FF289CA887}"/>
    <cellStyle name="Normal 3 2" xfId="9" xr:uid="{5A4AC519-6C67-49D9-B13D-7CF47DCD2530}"/>
    <cellStyle name="Percent" xfId="5" builtinId="5"/>
    <cellStyle name="Βασικό_PIVOT" xfId="10" xr:uid="{0CC2DE64-F5F8-433E-A20C-CCE72096AB49}"/>
  </cellStyles>
  <dxfs count="32">
    <dxf>
      <font>
        <b val="0"/>
        <i val="0"/>
        <strike val="0"/>
        <condense val="0"/>
        <extend val="0"/>
        <outline val="0"/>
        <shadow val="0"/>
        <u val="none"/>
        <vertAlign val="baseline"/>
        <sz val="12"/>
        <color theme="1"/>
        <name val="Palatino Linotype"/>
        <family val="1"/>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Palatino Linotype"/>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Palatino Linotype"/>
        <family val="1"/>
        <scheme val="none"/>
      </font>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Palatino Linotype"/>
        <family val="1"/>
        <scheme val="none"/>
      </font>
      <fill>
        <patternFill patternType="solid">
          <fgColor indexed="64"/>
          <bgColor rgb="FFFFCC9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Palatino Linotype"/>
        <family val="1"/>
        <scheme val="none"/>
      </font>
      <fill>
        <patternFill patternType="solid">
          <fgColor indexed="64"/>
          <bgColor theme="3" tint="0.89999084444715716"/>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Palatino Linotype"/>
        <family val="1"/>
        <scheme val="none"/>
      </font>
      <fill>
        <patternFill patternType="solid">
          <fgColor indexed="64"/>
          <bgColor theme="7"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dxf>
    <dxf>
      <font>
        <b/>
        <charset val="186"/>
      </font>
      <alignment horizontal="left" vertical="center" textRotation="0" wrapText="1" indent="0" justifyLastLine="0" shrinkToFit="0" readingOrder="0"/>
    </dxf>
    <dxf>
      <font>
        <b/>
        <i val="0"/>
        <strike val="0"/>
        <condense val="0"/>
        <extend val="0"/>
        <outline val="0"/>
        <shadow val="0"/>
        <u val="none"/>
        <vertAlign val="baseline"/>
        <sz val="14"/>
        <color auto="1"/>
        <name val="Aptos Display"/>
        <family val="2"/>
        <scheme val="major"/>
      </font>
      <fill>
        <patternFill patternType="solid">
          <fgColor indexed="64"/>
          <bgColor theme="6" tint="0.59999389629810485"/>
        </patternFill>
      </fill>
      <alignment horizontal="left" vertical="center" textRotation="0" wrapText="1" indent="0" justifyLastLine="0" shrinkToFit="0" readingOrder="0"/>
    </dxf>
    <dxf>
      <fill>
        <patternFill patternType="solid">
          <fgColor rgb="FFC1F0C8"/>
          <bgColor rgb="FFC1F0C8"/>
        </patternFill>
      </fill>
    </dxf>
    <dxf>
      <fill>
        <patternFill patternType="solid">
          <fgColor rgb="FFC1F0C8"/>
          <bgColor rgb="FFC1F0C8"/>
        </patternFill>
      </fill>
    </dxf>
    <dxf>
      <font>
        <b/>
        <color rgb="FF000000"/>
      </font>
    </dxf>
    <dxf>
      <font>
        <b/>
        <color rgb="FF000000"/>
      </font>
    </dxf>
    <dxf>
      <font>
        <b/>
        <color rgb="FF000000"/>
      </font>
      <border>
        <top style="double">
          <color rgb="FF196B24"/>
        </top>
      </border>
    </dxf>
    <dxf>
      <font>
        <b/>
        <color rgb="FFFFFFFF"/>
      </font>
      <fill>
        <patternFill patternType="solid">
          <fgColor rgb="FF196B24"/>
          <bgColor rgb="FF196B24"/>
        </patternFill>
      </fill>
    </dxf>
    <dxf>
      <font>
        <color rgb="FF000000"/>
      </font>
      <border>
        <left style="thin">
          <color rgb="FF47D359"/>
        </left>
        <right style="thin">
          <color rgb="FF47D359"/>
        </right>
        <top style="thin">
          <color rgb="FF47D359"/>
        </top>
        <bottom style="thin">
          <color rgb="FF47D359"/>
        </bottom>
        <horizontal style="thin">
          <color rgb="FF47D359"/>
        </horizontal>
      </border>
    </dxf>
    <dxf>
      <border>
        <left style="thin">
          <color rgb="FF4EA72E"/>
        </left>
      </border>
    </dxf>
    <dxf>
      <border>
        <left style="thin">
          <color rgb="FF4EA72E"/>
        </left>
      </border>
    </dxf>
    <dxf>
      <border>
        <top style="thin">
          <color rgb="FF4EA72E"/>
        </top>
      </border>
    </dxf>
    <dxf>
      <border>
        <top style="thin">
          <color rgb="FF4EA72E"/>
        </top>
      </border>
    </dxf>
    <dxf>
      <font>
        <b/>
        <color rgb="FF000000"/>
      </font>
    </dxf>
    <dxf>
      <font>
        <b/>
        <color rgb="FF000000"/>
      </font>
    </dxf>
    <dxf>
      <font>
        <b/>
        <color rgb="FF000000"/>
      </font>
      <border>
        <top style="double">
          <color rgb="FF4EA72E"/>
        </top>
      </border>
    </dxf>
    <dxf>
      <font>
        <b/>
        <color rgb="FFFFFFFF"/>
      </font>
      <fill>
        <patternFill patternType="solid">
          <fgColor rgb="FF4EA72E"/>
          <bgColor rgb="FF4EA72E"/>
        </patternFill>
      </fill>
    </dxf>
    <dxf>
      <font>
        <color rgb="FF000000"/>
      </font>
      <border>
        <left style="thin">
          <color rgb="FF4EA72E"/>
        </left>
        <right style="thin">
          <color rgb="FF4EA72E"/>
        </right>
        <top style="thin">
          <color rgb="FF4EA72E"/>
        </top>
        <bottom style="thin">
          <color rgb="FF4EA72E"/>
        </bottom>
      </border>
    </dxf>
    <dxf>
      <font>
        <b/>
        <color theme="1"/>
      </font>
      <border>
        <bottom style="thin">
          <color theme="7"/>
        </bottom>
        <vertical/>
        <horizontal/>
      </border>
    </dxf>
    <dxf>
      <font>
        <color theme="1"/>
      </font>
      <border diagonalUp="0" diagonalDown="0">
        <left/>
        <right/>
        <top/>
        <bottom/>
        <vertical/>
        <horizontal/>
      </border>
    </dxf>
    <dxf>
      <font>
        <b/>
        <color theme="1"/>
      </font>
      <border>
        <bottom style="thin">
          <color theme="7"/>
        </bottom>
        <vertical/>
        <horizontal/>
      </border>
    </dxf>
    <dxf>
      <font>
        <color theme="1"/>
      </font>
      <border diagonalUp="0" diagonalDown="0">
        <left/>
        <right/>
        <top/>
        <bottom/>
        <vertical/>
        <horizontal/>
      </border>
    </dxf>
  </dxfs>
  <tableStyles count="4" defaultTableStyle="TableStyleMedium2" defaultPivotStyle="PivotStyleLight16">
    <tableStyle name="SlicerStyleLight4 2" pivot="0" table="0" count="10" xr9:uid="{0FD5DAD0-8720-4173-84DE-8E61B20C4334}">
      <tableStyleElement type="wholeTable" dxfId="31"/>
      <tableStyleElement type="headerRow" dxfId="30"/>
    </tableStyle>
    <tableStyle name="SlicerStyleLight4 2 2" pivot="0" table="0" count="10" xr9:uid="{324E5987-96B1-4AC3-95EF-D4EB7D8A3431}">
      <tableStyleElement type="wholeTable" dxfId="29"/>
      <tableStyleElement type="headerRow" dxfId="28"/>
    </tableStyle>
    <tableStyle name="TableStyleLight14 2" pivot="0" count="9" xr9:uid="{832AE45D-F081-480F-BCC4-ACF4BDB6C6DC}">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 name="TableStyleMedium4 2" pivot="0" count="7" xr9:uid="{6C15E200-DF72-4434-BFC7-51CE2FEB8AD8}">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s>
  <colors>
    <mruColors>
      <color rgb="FFFFCC99"/>
      <color rgb="FF1A17A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editAs="oneCell">
    <xdr:from>
      <xdr:col>1</xdr:col>
      <xdr:colOff>175261</xdr:colOff>
      <xdr:row>2</xdr:row>
      <xdr:rowOff>175260</xdr:rowOff>
    </xdr:from>
    <xdr:to>
      <xdr:col>5</xdr:col>
      <xdr:colOff>579121</xdr:colOff>
      <xdr:row>5</xdr:row>
      <xdr:rowOff>165895</xdr:rowOff>
    </xdr:to>
    <xdr:pic>
      <xdr:nvPicPr>
        <xdr:cNvPr id="3" name="Picture 2">
          <a:extLst>
            <a:ext uri="{FF2B5EF4-FFF2-40B4-BE49-F238E27FC236}">
              <a16:creationId xmlns:a16="http://schemas.microsoft.com/office/drawing/2014/main" id="{B9B4D04C-F8FD-BCFF-B7B7-BA534D820E3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300000"/>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784861" y="541020"/>
          <a:ext cx="2842260" cy="539275"/>
        </a:xfrm>
        <a:prstGeom prst="rect">
          <a:avLst/>
        </a:prstGeom>
      </xdr:spPr>
    </xdr:pic>
    <xdr:clientData/>
  </xdr:twoCellAnchor>
  <xdr:twoCellAnchor>
    <xdr:from>
      <xdr:col>1</xdr:col>
      <xdr:colOff>60960</xdr:colOff>
      <xdr:row>7</xdr:row>
      <xdr:rowOff>99060</xdr:rowOff>
    </xdr:from>
    <xdr:to>
      <xdr:col>6</xdr:col>
      <xdr:colOff>358140</xdr:colOff>
      <xdr:row>9</xdr:row>
      <xdr:rowOff>129540</xdr:rowOff>
    </xdr:to>
    <xdr:sp macro="" textlink="">
      <xdr:nvSpPr>
        <xdr:cNvPr id="5" name="Rectangle: Rounded Corners 4">
          <a:extLst>
            <a:ext uri="{FF2B5EF4-FFF2-40B4-BE49-F238E27FC236}">
              <a16:creationId xmlns:a16="http://schemas.microsoft.com/office/drawing/2014/main" id="{4118680F-EA25-30D1-A246-0936591F26C1}"/>
            </a:ext>
          </a:extLst>
        </xdr:cNvPr>
        <xdr:cNvSpPr/>
      </xdr:nvSpPr>
      <xdr:spPr>
        <a:xfrm>
          <a:off x="3108960" y="1379220"/>
          <a:ext cx="3345180" cy="39624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z-Latn-AZ" sz="2000" b="1" kern="1200">
              <a:latin typeface="+mj-lt"/>
            </a:rPr>
            <a:t>MODUL </a:t>
          </a:r>
          <a:r>
            <a:rPr lang="en-US" sz="2000" b="1" kern="1200">
              <a:latin typeface="+mj-lt"/>
            </a:rPr>
            <a:t>#7</a:t>
          </a:r>
          <a:endParaRPr lang="az-Latn-AZ" sz="2000" b="1" kern="1200">
            <a:latin typeface="+mj-lt"/>
          </a:endParaRPr>
        </a:p>
      </xdr:txBody>
    </xdr:sp>
    <xdr:clientData/>
  </xdr:twoCellAnchor>
  <xdr:twoCellAnchor editAs="oneCell">
    <xdr:from>
      <xdr:col>13</xdr:col>
      <xdr:colOff>583966</xdr:colOff>
      <xdr:row>1</xdr:row>
      <xdr:rowOff>30481</xdr:rowOff>
    </xdr:from>
    <xdr:to>
      <xdr:col>16</xdr:col>
      <xdr:colOff>83819</xdr:colOff>
      <xdr:row>6</xdr:row>
      <xdr:rowOff>67175</xdr:rowOff>
    </xdr:to>
    <xdr:pic>
      <xdr:nvPicPr>
        <xdr:cNvPr id="6" name="Graphic 5">
          <a:extLst>
            <a:ext uri="{FF2B5EF4-FFF2-40B4-BE49-F238E27FC236}">
              <a16:creationId xmlns:a16="http://schemas.microsoft.com/office/drawing/2014/main" id="{64D63DC5-AC70-8016-052B-3BCB484C264E}"/>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50000"/>
                  </a14:imgEffect>
                  <a14:imgEffect>
                    <a14:colorTemperature colorTemp="4700"/>
                  </a14:imgEffect>
                  <a14:imgEffect>
                    <a14:brightnessContrast bright="20000" contrast="-40000"/>
                  </a14:imgEffect>
                </a14:imgLayer>
              </a14:imgProps>
            </a:ext>
            <a:ext uri="{28A0092B-C50C-407E-A947-70E740481C1C}">
              <a14:useLocalDpi xmlns:a14="http://schemas.microsoft.com/office/drawing/2010/main" val="0"/>
            </a:ext>
          </a:extLst>
        </a:blip>
        <a:srcRect/>
        <a:stretch/>
      </xdr:blipFill>
      <xdr:spPr>
        <a:xfrm>
          <a:off x="7899166" y="213361"/>
          <a:ext cx="1328653" cy="951094"/>
        </a:xfrm>
        <a:prstGeom prst="rect">
          <a:avLst/>
        </a:prstGeom>
      </xdr:spPr>
    </xdr:pic>
    <xdr:clientData/>
  </xdr:twoCellAnchor>
  <xdr:twoCellAnchor editAs="oneCell">
    <xdr:from>
      <xdr:col>11</xdr:col>
      <xdr:colOff>23706</xdr:colOff>
      <xdr:row>2</xdr:row>
      <xdr:rowOff>162561</xdr:rowOff>
    </xdr:from>
    <xdr:to>
      <xdr:col>19</xdr:col>
      <xdr:colOff>435953</xdr:colOff>
      <xdr:row>15</xdr:row>
      <xdr:rowOff>60961</xdr:rowOff>
    </xdr:to>
    <xdr:pic>
      <xdr:nvPicPr>
        <xdr:cNvPr id="4" name="Picture 3">
          <a:extLst>
            <a:ext uri="{FF2B5EF4-FFF2-40B4-BE49-F238E27FC236}">
              <a16:creationId xmlns:a16="http://schemas.microsoft.com/office/drawing/2014/main" id="{C7329F22-28C1-41A6-C3D6-5A34583B92C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1227" b="32670"/>
        <a:stretch/>
      </xdr:blipFill>
      <xdr:spPr>
        <a:xfrm>
          <a:off x="6729306" y="535094"/>
          <a:ext cx="5289047" cy="2455334"/>
        </a:xfrm>
        <a:prstGeom prst="rect">
          <a:avLst/>
        </a:prstGeom>
      </xdr:spPr>
    </xdr:pic>
    <xdr:clientData/>
  </xdr:twoCellAnchor>
  <xdr:twoCellAnchor>
    <xdr:from>
      <xdr:col>12</xdr:col>
      <xdr:colOff>91440</xdr:colOff>
      <xdr:row>15</xdr:row>
      <xdr:rowOff>144780</xdr:rowOff>
    </xdr:from>
    <xdr:to>
      <xdr:col>17</xdr:col>
      <xdr:colOff>541020</xdr:colOff>
      <xdr:row>28</xdr:row>
      <xdr:rowOff>67733</xdr:rowOff>
    </xdr:to>
    <xdr:sp macro="" textlink="">
      <xdr:nvSpPr>
        <xdr:cNvPr id="7" name="TextBox 6">
          <a:extLst>
            <a:ext uri="{FF2B5EF4-FFF2-40B4-BE49-F238E27FC236}">
              <a16:creationId xmlns:a16="http://schemas.microsoft.com/office/drawing/2014/main" id="{45E9C40A-438A-150F-9A01-C58E196752B1}"/>
            </a:ext>
          </a:extLst>
        </xdr:cNvPr>
        <xdr:cNvSpPr txBox="1"/>
      </xdr:nvSpPr>
      <xdr:spPr>
        <a:xfrm>
          <a:off x="6797040" y="2972647"/>
          <a:ext cx="3497580" cy="243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1000" b="1">
              <a:latin typeface="Palatino Linotype" panose="02040502050505030304" pitchFamily="18" charset="0"/>
            </a:rPr>
            <a:t>📢 Hörmətli Excel şəhərinə səfər edən yolcular! 📊✈️</a:t>
          </a:r>
          <a:endParaRPr lang="az-Latn-AZ" sz="1000">
            <a:latin typeface="Palatino Linotype" panose="02040502050505030304" pitchFamily="18" charset="0"/>
          </a:endParaRPr>
        </a:p>
        <a:p>
          <a:r>
            <a:rPr lang="az-Latn-AZ" sz="1000">
              <a:latin typeface="Palatino Linotype" panose="02040502050505030304" pitchFamily="18" charset="0"/>
            </a:rPr>
            <a:t>Sizi </a:t>
          </a:r>
          <a:r>
            <a:rPr lang="az-Latn-AZ" sz="1000" b="1">
              <a:latin typeface="Palatino Linotype" panose="02040502050505030304" pitchFamily="18" charset="0"/>
            </a:rPr>
            <a:t>Excel Airlines</a:t>
          </a:r>
          <a:r>
            <a:rPr lang="az-Latn-AZ" sz="1000">
              <a:latin typeface="Palatino Linotype" panose="02040502050505030304" pitchFamily="18" charset="0"/>
            </a:rPr>
            <a:t> təyyarəsində salamlayırıq! Bu səfərdə formullarınız düzgün, nəticələriniz isə hər zaman gözlədiyiniz kimi olsun! 💚</a:t>
          </a:r>
        </a:p>
        <a:p>
          <a:r>
            <a:rPr lang="az-Latn-AZ" sz="1000" b="1">
              <a:latin typeface="Palatino Linotype" panose="02040502050505030304" pitchFamily="18" charset="0"/>
            </a:rPr>
            <a:t>Yol boyu:</a:t>
          </a:r>
        </a:p>
        <a:p>
          <a:r>
            <a:rPr lang="az-Latn-AZ" sz="1000">
              <a:latin typeface="Palatino Linotype" panose="02040502050505030304" pitchFamily="18" charset="0"/>
            </a:rPr>
            <a:t>SUM funksiyanız bol qazanc toplasın ✨</a:t>
          </a:r>
        </a:p>
        <a:p>
          <a:r>
            <a:rPr lang="az-Latn-AZ" sz="1000">
              <a:latin typeface="Palatino Linotype" panose="02040502050505030304" pitchFamily="18" charset="0"/>
            </a:rPr>
            <a:t>IF-ləriniz həmişə doğru cavab versin ✅</a:t>
          </a:r>
        </a:p>
        <a:p>
          <a:r>
            <a:rPr lang="az-Latn-AZ" sz="1000" b="1">
              <a:latin typeface="Palatino Linotype" panose="02040502050505030304" pitchFamily="18" charset="0"/>
            </a:rPr>
            <a:t>Unutmayın</a:t>
          </a:r>
          <a:r>
            <a:rPr lang="az-Latn-AZ" sz="1000">
              <a:latin typeface="Palatino Linotype" panose="02040502050505030304" pitchFamily="18" charset="0"/>
            </a:rPr>
            <a:t>: Hər səyahət yeni bir worksheet-dir, həyat isə sonsuz rows və columns-dan ibarət workbook. Sizin üçün bol uğurlu, səhvsiz, #REF! və #DIV/0! olmadan möhtəşəm səfərlər arzulayırıq!</a:t>
          </a:r>
        </a:p>
        <a:p>
          <a:endParaRPr lang="az-Latn-AZ" sz="1000">
            <a:latin typeface="Palatino Linotype" panose="02040502050505030304" pitchFamily="18" charset="0"/>
          </a:endParaRPr>
        </a:p>
        <a:p>
          <a:r>
            <a:rPr lang="az-Latn-AZ" sz="1100" b="1">
              <a:latin typeface="Palatino Linotype" panose="02040502050505030304" pitchFamily="18" charset="0"/>
            </a:rPr>
            <a:t>Excel Airlines — Hər Səfər Bir Hesabatdır!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484188</xdr:colOff>
      <xdr:row>4</xdr:row>
      <xdr:rowOff>103188</xdr:rowOff>
    </xdr:from>
    <xdr:to>
      <xdr:col>14</xdr:col>
      <xdr:colOff>63501</xdr:colOff>
      <xdr:row>11</xdr:row>
      <xdr:rowOff>55562</xdr:rowOff>
    </xdr:to>
    <xdr:sp macro="" textlink="">
      <xdr:nvSpPr>
        <xdr:cNvPr id="2" name="TextBox 1">
          <a:extLst>
            <a:ext uri="{FF2B5EF4-FFF2-40B4-BE49-F238E27FC236}">
              <a16:creationId xmlns:a16="http://schemas.microsoft.com/office/drawing/2014/main" id="{9D67484E-0DA7-4126-ADCC-80C7EAF40315}"/>
            </a:ext>
          </a:extLst>
        </xdr:cNvPr>
        <xdr:cNvSpPr txBox="1"/>
      </xdr:nvSpPr>
      <xdr:spPr>
        <a:xfrm>
          <a:off x="5734368" y="895668"/>
          <a:ext cx="3236913" cy="1339214"/>
        </a:xfrm>
        <a:prstGeom prst="roundRect">
          <a:avLst/>
        </a:prstGeom>
        <a:solidFill>
          <a:schemeClr val="accent2">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az-Latn-AZ" sz="1200" b="1">
              <a:solidFill>
                <a:schemeClr val="tx1"/>
              </a:solidFill>
              <a:latin typeface="Palatino Linotype" panose="02040502050505030304" pitchFamily="18" charset="0"/>
              <a:cs typeface="Times New Roman" panose="02020603050405020304" pitchFamily="18" charset="0"/>
            </a:rPr>
            <a:t>Mart ayı üzrə Nar məhsulunun satış məbləğini hesablayın.</a:t>
          </a:r>
        </a:p>
        <a:p>
          <a:endParaRPr lang="az-Latn-AZ" sz="1200" b="1">
            <a:solidFill>
              <a:schemeClr val="tx1"/>
            </a:solidFill>
            <a:latin typeface="Palatino Linotype" panose="02040502050505030304" pitchFamily="18" charset="0"/>
            <a:cs typeface="Times New Roman" panose="02020603050405020304" pitchFamily="18" charset="0"/>
          </a:endParaRPr>
        </a:p>
        <a:p>
          <a:r>
            <a:rPr lang="az-Latn-AZ" sz="1200" b="1">
              <a:solidFill>
                <a:schemeClr val="tx1"/>
              </a:solidFill>
              <a:latin typeface="Palatino Linotype" panose="02040502050505030304" pitchFamily="18" charset="0"/>
              <a:cs typeface="Times New Roman" panose="02020603050405020304" pitchFamily="18" charset="0"/>
            </a:rPr>
            <a:t>Nəticə</a:t>
          </a:r>
          <a:r>
            <a:rPr lang="az-Latn-AZ" sz="1200" b="1" baseline="0">
              <a:solidFill>
                <a:schemeClr val="tx1"/>
              </a:solidFill>
              <a:latin typeface="Palatino Linotype" panose="02040502050505030304" pitchFamily="18" charset="0"/>
              <a:cs typeface="Times New Roman" panose="02020603050405020304" pitchFamily="18" charset="0"/>
            </a:rPr>
            <a:t> I2 xanasında göstəriləcək.</a:t>
          </a:r>
          <a:endParaRPr lang="az-Latn-AZ" sz="1200" b="1">
            <a:solidFill>
              <a:schemeClr val="tx1"/>
            </a:solidFill>
            <a:latin typeface="Palatino Linotype" panose="0204050205050503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0</xdr:row>
      <xdr:rowOff>38100</xdr:rowOff>
    </xdr:from>
    <xdr:to>
      <xdr:col>15</xdr:col>
      <xdr:colOff>209550</xdr:colOff>
      <xdr:row>3</xdr:row>
      <xdr:rowOff>19050</xdr:rowOff>
    </xdr:to>
    <xdr:sp macro="" textlink="">
      <xdr:nvSpPr>
        <xdr:cNvPr id="2" name="TextBox 1">
          <a:extLst>
            <a:ext uri="{FF2B5EF4-FFF2-40B4-BE49-F238E27FC236}">
              <a16:creationId xmlns:a16="http://schemas.microsoft.com/office/drawing/2014/main" id="{587DE85B-85C6-4890-AD1E-77B911F53291}"/>
            </a:ext>
          </a:extLst>
        </xdr:cNvPr>
        <xdr:cNvSpPr txBox="1"/>
      </xdr:nvSpPr>
      <xdr:spPr>
        <a:xfrm>
          <a:off x="5387340" y="38100"/>
          <a:ext cx="6648450" cy="697230"/>
        </a:xfrm>
        <a:prstGeom prst="roundRect">
          <a:avLst/>
        </a:prstGeom>
        <a:solidFill>
          <a:schemeClr val="accent1">
            <a:lumMod val="20000"/>
            <a:lumOff val="8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600" b="0" baseline="0">
              <a:solidFill>
                <a:schemeClr val="tx1"/>
              </a:solidFill>
              <a:latin typeface="Times New Roman" panose="02020603050405020304" pitchFamily="18" charset="0"/>
              <a:cs typeface="Times New Roman" panose="02020603050405020304" pitchFamily="18" charset="0"/>
            </a:rPr>
            <a:t>A2 xanas</a:t>
          </a:r>
          <a:r>
            <a:rPr lang="az-Latn-AZ" sz="1600" b="0" baseline="0">
              <a:solidFill>
                <a:schemeClr val="tx1"/>
              </a:solidFill>
              <a:latin typeface="Times New Roman" panose="02020603050405020304" pitchFamily="18" charset="0"/>
              <a:cs typeface="Times New Roman" panose="02020603050405020304" pitchFamily="18" charset="0"/>
            </a:rPr>
            <a:t>ında </a:t>
          </a:r>
          <a:r>
            <a:rPr lang="az-Latn-AZ" sz="1600" b="1" baseline="0">
              <a:solidFill>
                <a:schemeClr val="tx1"/>
              </a:solidFill>
              <a:latin typeface="Times New Roman" panose="02020603050405020304" pitchFamily="18" charset="0"/>
              <a:cs typeface="Times New Roman" panose="02020603050405020304" pitchFamily="18" charset="0"/>
            </a:rPr>
            <a:t>toplam gəliri (Satış qiyməti) </a:t>
          </a:r>
          <a:r>
            <a:rPr lang="az-Latn-AZ" sz="1600" b="0" baseline="0">
              <a:solidFill>
                <a:schemeClr val="tx1"/>
              </a:solidFill>
              <a:latin typeface="Times New Roman" panose="02020603050405020304" pitchFamily="18" charset="0"/>
              <a:cs typeface="Times New Roman" panose="02020603050405020304" pitchFamily="18" charset="0"/>
            </a:rPr>
            <a:t>tap. Bunu elə bir funksiya ilə et ki, filter verildiyi zaman nəticə filtirə uyğun olaraq dəyişilsin.</a:t>
          </a:r>
          <a:endParaRPr lang="az-Latn-AZ" sz="1600" b="1"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4</xdr:col>
      <xdr:colOff>348614</xdr:colOff>
      <xdr:row>4</xdr:row>
      <xdr:rowOff>60960</xdr:rowOff>
    </xdr:from>
    <xdr:to>
      <xdr:col>11</xdr:col>
      <xdr:colOff>510539</xdr:colOff>
      <xdr:row>16</xdr:row>
      <xdr:rowOff>11431</xdr:rowOff>
    </xdr:to>
    <mc:AlternateContent xmlns:mc="http://schemas.openxmlformats.org/markup-compatibility/2006" xmlns:sle15="http://schemas.microsoft.com/office/drawing/2012/slicer">
      <mc:Choice Requires="sle15">
        <xdr:graphicFrame macro="">
          <xdr:nvGraphicFramePr>
            <xdr:cNvPr id="3" name="Ölkə">
              <a:extLst>
                <a:ext uri="{FF2B5EF4-FFF2-40B4-BE49-F238E27FC236}">
                  <a16:creationId xmlns:a16="http://schemas.microsoft.com/office/drawing/2014/main" id="{6CE7B711-2D88-4F7A-ACF9-423FA33C1D23}"/>
                </a:ext>
              </a:extLst>
            </xdr:cNvPr>
            <xdr:cNvGraphicFramePr/>
          </xdr:nvGraphicFramePr>
          <xdr:xfrm>
            <a:off x="0" y="0"/>
            <a:ext cx="0" cy="0"/>
          </xdr:xfrm>
          <a:graphic>
            <a:graphicData uri="http://schemas.microsoft.com/office/drawing/2010/slicer">
              <sle:slicer xmlns:sle="http://schemas.microsoft.com/office/drawing/2010/slicer" name="Ölkə"/>
            </a:graphicData>
          </a:graphic>
        </xdr:graphicFrame>
      </mc:Choice>
      <mc:Fallback xmlns="">
        <xdr:sp macro="" textlink="">
          <xdr:nvSpPr>
            <xdr:cNvPr id="0" name=""/>
            <xdr:cNvSpPr>
              <a:spLocks noTextEdit="1"/>
            </xdr:cNvSpPr>
          </xdr:nvSpPr>
          <xdr:spPr>
            <a:xfrm>
              <a:off x="5469254" y="960120"/>
              <a:ext cx="4429125" cy="2145031"/>
            </a:xfrm>
            <a:prstGeom prst="rect">
              <a:avLst/>
            </a:prstGeom>
            <a:solidFill>
              <a:prstClr val="white"/>
            </a:solidFill>
            <a:ln w="1">
              <a:solidFill>
                <a:prstClr val="green"/>
              </a:solidFill>
            </a:ln>
          </xdr:spPr>
          <xdr:txBody>
            <a:bodyPr vertOverflow="clip" horzOverflow="clip"/>
            <a:lstStyle/>
            <a:p>
              <a:r>
                <a:rPr lang="az-Latn-A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26669</xdr:colOff>
      <xdr:row>4</xdr:row>
      <xdr:rowOff>102871</xdr:rowOff>
    </xdr:from>
    <xdr:to>
      <xdr:col>16</xdr:col>
      <xdr:colOff>417194</xdr:colOff>
      <xdr:row>15</xdr:row>
      <xdr:rowOff>72391</xdr:rowOff>
    </xdr:to>
    <mc:AlternateContent xmlns:mc="http://schemas.openxmlformats.org/markup-compatibility/2006" xmlns:sle15="http://schemas.microsoft.com/office/drawing/2012/slicer">
      <mc:Choice Requires="sle15">
        <xdr:graphicFrame macro="">
          <xdr:nvGraphicFramePr>
            <xdr:cNvPr id="4" name="Məhsul">
              <a:extLst>
                <a:ext uri="{FF2B5EF4-FFF2-40B4-BE49-F238E27FC236}">
                  <a16:creationId xmlns:a16="http://schemas.microsoft.com/office/drawing/2014/main" id="{DFCC8182-92C1-4CED-AF41-6BAF41CA10AC}"/>
                </a:ext>
              </a:extLst>
            </xdr:cNvPr>
            <xdr:cNvGraphicFramePr/>
          </xdr:nvGraphicFramePr>
          <xdr:xfrm>
            <a:off x="0" y="0"/>
            <a:ext cx="0" cy="0"/>
          </xdr:xfrm>
          <a:graphic>
            <a:graphicData uri="http://schemas.microsoft.com/office/drawing/2010/slicer">
              <sle:slicer xmlns:sle="http://schemas.microsoft.com/office/drawing/2010/slicer" name="Məhsul"/>
            </a:graphicData>
          </a:graphic>
        </xdr:graphicFrame>
      </mc:Choice>
      <mc:Fallback xmlns="">
        <xdr:sp macro="" textlink="">
          <xdr:nvSpPr>
            <xdr:cNvPr id="0" name=""/>
            <xdr:cNvSpPr>
              <a:spLocks noTextEdit="1"/>
            </xdr:cNvSpPr>
          </xdr:nvSpPr>
          <xdr:spPr>
            <a:xfrm>
              <a:off x="10024109" y="1002031"/>
              <a:ext cx="2828925" cy="1981200"/>
            </a:xfrm>
            <a:prstGeom prst="rect">
              <a:avLst/>
            </a:prstGeom>
            <a:solidFill>
              <a:prstClr val="white"/>
            </a:solidFill>
            <a:ln w="1">
              <a:solidFill>
                <a:prstClr val="green"/>
              </a:solidFill>
            </a:ln>
          </xdr:spPr>
          <xdr:txBody>
            <a:bodyPr vertOverflow="clip" horzOverflow="clip"/>
            <a:lstStyle/>
            <a:p>
              <a:r>
                <a:rPr lang="az-Latn-A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Ölkə" xr10:uid="{096B56F7-501F-4973-BDD9-CCFCC50FA456}" sourceName="Ölkə">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əhsul" xr10:uid="{4217402C-22C8-4B9D-AA25-3F6AA6F08259}" sourceName="Məhsul">
  <extLst>
    <x:ext xmlns:x15="http://schemas.microsoft.com/office/spreadsheetml/2010/11/main" uri="{2F2917AC-EB37-4324-AD4E-5DD8C200BD13}">
      <x15:tableSlicerCache tableId="4"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Ölkə" xr10:uid="{4DB3156F-9E80-4F77-87C4-C7B39BA26B25}" cache="Slicer_Ölkə" caption="Ölkə" columnCount="5" style="SlicerStyleLight4 2" rowHeight="241300"/>
  <slicer name="Məhsul" xr10:uid="{DF0CEF57-1D9B-4F6E-A05D-378EBF2B5C34}" cache="Slicer_Məhsul" caption="Məhsul" columnCount="2" style="SlicerStyleLight4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9A8264-29A2-4A7B-934D-5C5C3B48FA79}" name="Table1" displayName="Table1" ref="A1:B32" totalsRowShown="0" headerRowDxfId="11">
  <tableColumns count="2">
    <tableColumn id="1" xr3:uid="{3C515C22-B2E9-43CA-AAA6-6AFE0B91569E}" name="Qısayol" dataDxfId="10"/>
    <tableColumn id="2" xr3:uid="{44F06DC4-BD1D-4C74-85D1-710C4DF4197C}" name="İcra etdiyi əməliyyat" dataDxfId="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A5F642-E4E1-4F1D-910E-720D9E11E024}" name="Table5" displayName="Table5" ref="A1:E28" totalsRowShown="0" headerRowDxfId="8" headerRowBorderDxfId="7" tableBorderDxfId="6" totalsRowBorderDxfId="5">
  <autoFilter ref="A1:E28" xr:uid="{C2A5F642-E4E1-4F1D-910E-720D9E11E024}"/>
  <tableColumns count="5">
    <tableColumn id="1" xr3:uid="{79C37E15-BF10-4B33-A9F4-32156BCC9FEC}" name="ENG" dataDxfId="4"/>
    <tableColumn id="2" xr3:uid="{34A3B485-6263-48C4-B668-80A07DECF7E0}" name="RUS" dataDxfId="3"/>
    <tableColumn id="3" xr3:uid="{52A6B4AB-4B5C-41F8-922D-A00654C8B591}" name="TUR" dataDxfId="2"/>
    <tableColumn id="4" xr3:uid="{72B3DB2B-8AF5-4598-80C9-95F64D244C24}" name="Arqumentləri" dataDxfId="1"/>
    <tableColumn id="5" xr3:uid="{1D9F4F8E-E598-4265-B07C-27BE49447E5D}" name="Təyinatı" dataDxfId="0"/>
  </tableColumns>
  <tableStyleInfo name="TableStyleLight15"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FC58A8-D80E-4C7A-9065-532D2B916468}" name="Table132" displayName="Table132" ref="A4:D2343" totalsRowShown="0">
  <autoFilter ref="A4:D2343" xr:uid="{BFFC58A8-D80E-4C7A-9065-532D2B916468}"/>
  <tableColumns count="4">
    <tableColumn id="2" xr3:uid="{5DEE23D9-6E6B-485C-9F45-B5A324B299EB}" name="Ölkə"/>
    <tableColumn id="5" xr3:uid="{00F55052-F494-42A8-92EF-56A3987B77CC}" name="Məhsul"/>
    <tableColumn id="7" xr3:uid="{3094226B-76B6-4515-88D0-9D320E496C67}" name="Etiket qiyməti"/>
    <tableColumn id="8" xr3:uid="{2C3BEA21-8C33-401A-BAC7-723D0402B87B}" name="Satış qiyməti"/>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266C76-B02B-4FE2-AEFB-D287A7FE0B77}">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B24B3-B002-46D3-BD21-AC87C2088608}">
  <dimension ref="B12:R26"/>
  <sheetViews>
    <sheetView showGridLines="0" showRowColHeaders="0" zoomScale="90" zoomScaleNormal="90" workbookViewId="0">
      <selection activeCell="G16" sqref="G16"/>
    </sheetView>
  </sheetViews>
  <sheetFormatPr defaultRowHeight="14.4" x14ac:dyDescent="0.3"/>
  <cols>
    <col min="1" max="12" width="8.88671875" style="5"/>
    <col min="13" max="18" width="8.88671875" style="6"/>
    <col min="19" max="16384" width="8.88671875" style="5"/>
  </cols>
  <sheetData>
    <row r="12" spans="2:12" ht="17.399999999999999" x14ac:dyDescent="0.3">
      <c r="B12" s="8" t="s">
        <v>158</v>
      </c>
      <c r="C12" s="8"/>
      <c r="D12" s="8"/>
      <c r="E12" s="7"/>
      <c r="F12" s="7"/>
      <c r="G12" s="7"/>
      <c r="H12" s="7"/>
      <c r="I12" s="7"/>
      <c r="J12" s="7"/>
      <c r="K12" s="7"/>
      <c r="L12" s="7"/>
    </row>
    <row r="13" spans="2:12" ht="17.399999999999999" x14ac:dyDescent="0.3">
      <c r="B13" s="8" t="s">
        <v>159</v>
      </c>
      <c r="C13" s="8"/>
      <c r="D13" s="8"/>
      <c r="E13" s="7"/>
      <c r="F13" s="7"/>
      <c r="G13" s="7"/>
      <c r="H13" s="7"/>
      <c r="I13" s="7"/>
      <c r="J13" s="7"/>
      <c r="K13" s="7"/>
      <c r="L13" s="7"/>
    </row>
    <row r="14" spans="2:12" ht="17.399999999999999" x14ac:dyDescent="0.3">
      <c r="B14" s="8" t="s">
        <v>161</v>
      </c>
      <c r="C14" s="8"/>
      <c r="D14" s="8"/>
      <c r="E14" s="7"/>
      <c r="F14" s="7"/>
      <c r="G14" s="7"/>
      <c r="H14" s="7"/>
      <c r="I14" s="7"/>
      <c r="J14" s="7"/>
      <c r="K14" s="7"/>
      <c r="L14" s="7"/>
    </row>
    <row r="15" spans="2:12" ht="17.399999999999999" x14ac:dyDescent="0.3">
      <c r="B15" s="9" t="s">
        <v>160</v>
      </c>
      <c r="C15" s="8"/>
      <c r="D15" s="8"/>
      <c r="E15" s="7"/>
      <c r="F15" s="7"/>
      <c r="G15" s="7"/>
      <c r="H15" s="7"/>
      <c r="I15" s="7"/>
      <c r="J15" s="7"/>
      <c r="K15" s="7"/>
      <c r="L15" s="7"/>
    </row>
    <row r="16" spans="2:12" ht="17.399999999999999" x14ac:dyDescent="0.3">
      <c r="B16" s="9"/>
      <c r="C16" s="8"/>
      <c r="D16" s="8"/>
      <c r="E16" s="7"/>
      <c r="F16" s="7"/>
      <c r="G16" s="7"/>
      <c r="H16" s="7"/>
      <c r="I16" s="7"/>
      <c r="J16" s="7"/>
      <c r="K16" s="7"/>
      <c r="L16" s="7"/>
    </row>
    <row r="17" spans="2:12" ht="17.399999999999999" x14ac:dyDescent="0.3">
      <c r="B17" s="9"/>
      <c r="C17" s="9"/>
      <c r="D17" s="9"/>
      <c r="E17" s="9"/>
      <c r="F17" s="9"/>
      <c r="G17" s="9"/>
      <c r="H17" s="9"/>
      <c r="I17" s="9"/>
      <c r="J17" s="9"/>
      <c r="K17" s="9"/>
      <c r="L17" s="9"/>
    </row>
    <row r="18" spans="2:12" ht="17.399999999999999" customHeight="1" x14ac:dyDescent="0.3">
      <c r="B18" s="9"/>
      <c r="C18" s="9"/>
      <c r="D18" s="9"/>
      <c r="E18" s="9"/>
      <c r="F18" s="9"/>
      <c r="G18" s="9"/>
      <c r="H18" s="9"/>
      <c r="I18" s="9"/>
      <c r="J18" s="9"/>
      <c r="K18" s="9"/>
      <c r="L18" s="9"/>
    </row>
    <row r="19" spans="2:12" ht="17.399999999999999" customHeight="1" x14ac:dyDescent="0.3">
      <c r="C19" s="9"/>
      <c r="D19" s="9"/>
      <c r="E19" s="9"/>
      <c r="F19" s="9"/>
      <c r="G19" s="9"/>
      <c r="H19" s="9"/>
      <c r="I19" s="9"/>
      <c r="J19" s="9"/>
      <c r="K19" s="9"/>
      <c r="L19" s="9"/>
    </row>
    <row r="20" spans="2:12" ht="17.399999999999999" customHeight="1" x14ac:dyDescent="0.3">
      <c r="B20" s="9"/>
      <c r="C20" s="9"/>
      <c r="D20" s="9"/>
      <c r="E20" s="9"/>
      <c r="F20" s="9"/>
      <c r="G20" s="9"/>
      <c r="H20" s="9"/>
      <c r="I20" s="9"/>
      <c r="J20" s="9"/>
      <c r="K20" s="9"/>
      <c r="L20" s="9"/>
    </row>
    <row r="21" spans="2:12" ht="17.399999999999999" customHeight="1" x14ac:dyDescent="0.3">
      <c r="B21" s="9"/>
      <c r="C21" s="9"/>
      <c r="D21" s="9"/>
      <c r="E21" s="9"/>
      <c r="F21" s="9"/>
      <c r="G21" s="9"/>
      <c r="H21" s="9"/>
      <c r="I21" s="9"/>
      <c r="J21" s="9"/>
      <c r="K21" s="9"/>
      <c r="L21" s="9"/>
    </row>
    <row r="22" spans="2:12" ht="17.399999999999999" customHeight="1" x14ac:dyDescent="0.3">
      <c r="B22" s="9"/>
      <c r="C22" s="9"/>
      <c r="D22" s="9"/>
      <c r="E22" s="9"/>
      <c r="F22" s="9"/>
      <c r="G22" s="9"/>
      <c r="H22" s="9"/>
      <c r="I22" s="9"/>
      <c r="J22" s="9"/>
      <c r="K22" s="9"/>
      <c r="L22" s="9"/>
    </row>
    <row r="23" spans="2:12" ht="17.399999999999999" customHeight="1" x14ac:dyDescent="0.3">
      <c r="B23" s="9"/>
      <c r="C23" s="9"/>
      <c r="D23" s="9"/>
      <c r="E23" s="9"/>
      <c r="F23" s="9"/>
      <c r="G23" s="9"/>
      <c r="H23" s="9"/>
      <c r="I23" s="9"/>
      <c r="J23" s="9"/>
      <c r="K23" s="9"/>
      <c r="L23" s="9"/>
    </row>
    <row r="24" spans="2:12" ht="17.399999999999999" customHeight="1" x14ac:dyDescent="0.3">
      <c r="B24" s="9"/>
      <c r="C24" s="9"/>
      <c r="D24" s="9"/>
      <c r="E24" s="9"/>
      <c r="F24" s="9"/>
      <c r="G24" s="9"/>
      <c r="H24" s="9"/>
      <c r="I24" s="9"/>
      <c r="J24" s="9"/>
      <c r="K24" s="9"/>
      <c r="L24" s="9"/>
    </row>
    <row r="25" spans="2:12" ht="17.399999999999999" customHeight="1" x14ac:dyDescent="0.3">
      <c r="B25" s="9"/>
      <c r="C25" s="9"/>
      <c r="D25" s="9"/>
      <c r="E25" s="9"/>
      <c r="F25" s="9"/>
      <c r="G25" s="9"/>
      <c r="H25" s="9"/>
      <c r="I25" s="9"/>
      <c r="J25" s="9"/>
      <c r="K25" s="9"/>
      <c r="L25" s="9"/>
    </row>
    <row r="26" spans="2:12" ht="17.399999999999999" customHeight="1" x14ac:dyDescent="0.3">
      <c r="B26" s="9"/>
      <c r="C26" s="9"/>
      <c r="D26" s="9"/>
      <c r="E26" s="9"/>
      <c r="F26" s="9"/>
      <c r="G26" s="9"/>
      <c r="H26" s="9"/>
      <c r="I26" s="9"/>
      <c r="J26" s="9"/>
      <c r="K26" s="9"/>
      <c r="L26" s="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B114E-67D9-486E-85A5-EEFC7CC2EF1E}">
  <sheetPr>
    <tabColor rgb="FFFFC000"/>
  </sheetPr>
  <dimension ref="A1:B32"/>
  <sheetViews>
    <sheetView workbookViewId="0">
      <selection activeCell="E6" sqref="E6"/>
    </sheetView>
  </sheetViews>
  <sheetFormatPr defaultColWidth="9.109375" defaultRowHeight="14.4" x14ac:dyDescent="0.3"/>
  <cols>
    <col min="1" max="1" width="30.88671875" style="4" customWidth="1"/>
    <col min="2" max="2" width="36.6640625" style="1" customWidth="1"/>
    <col min="3" max="4" width="9.109375" style="1"/>
    <col min="5" max="5" width="9.109375" style="1" customWidth="1"/>
    <col min="6" max="16384" width="9.109375" style="1"/>
  </cols>
  <sheetData>
    <row r="1" spans="1:2" ht="18" x14ac:dyDescent="0.3">
      <c r="A1" s="3" t="s">
        <v>0</v>
      </c>
      <c r="B1" s="2" t="s">
        <v>1</v>
      </c>
    </row>
    <row r="2" spans="1:2" x14ac:dyDescent="0.3">
      <c r="A2" s="4" t="s">
        <v>2</v>
      </c>
      <c r="B2" s="1" t="s">
        <v>3</v>
      </c>
    </row>
    <row r="3" spans="1:2" x14ac:dyDescent="0.3">
      <c r="A3" s="4" t="s">
        <v>4</v>
      </c>
      <c r="B3" s="1" t="s">
        <v>5</v>
      </c>
    </row>
    <row r="4" spans="1:2" x14ac:dyDescent="0.3">
      <c r="A4" s="4" t="s">
        <v>6</v>
      </c>
      <c r="B4" s="1" t="s">
        <v>7</v>
      </c>
    </row>
    <row r="5" spans="1:2" x14ac:dyDescent="0.3">
      <c r="A5" s="4" t="s">
        <v>8</v>
      </c>
      <c r="B5" s="1" t="s">
        <v>9</v>
      </c>
    </row>
    <row r="6" spans="1:2" x14ac:dyDescent="0.3">
      <c r="A6" s="4" t="s">
        <v>10</v>
      </c>
      <c r="B6" s="1" t="s">
        <v>11</v>
      </c>
    </row>
    <row r="7" spans="1:2" ht="57.6" x14ac:dyDescent="0.3">
      <c r="A7" s="4" t="s">
        <v>12</v>
      </c>
      <c r="B7" s="1" t="s">
        <v>13</v>
      </c>
    </row>
    <row r="8" spans="1:2" ht="57.6" x14ac:dyDescent="0.3">
      <c r="A8" s="4" t="s">
        <v>14</v>
      </c>
      <c r="B8" s="1" t="s">
        <v>15</v>
      </c>
    </row>
    <row r="9" spans="1:2" x14ac:dyDescent="0.3">
      <c r="A9" s="4" t="s">
        <v>16</v>
      </c>
      <c r="B9" s="1" t="s">
        <v>17</v>
      </c>
    </row>
    <row r="10" spans="1:2" x14ac:dyDescent="0.3">
      <c r="A10" s="4" t="s">
        <v>18</v>
      </c>
      <c r="B10" s="1" t="s">
        <v>19</v>
      </c>
    </row>
    <row r="11" spans="1:2" x14ac:dyDescent="0.3">
      <c r="A11" s="4" t="s">
        <v>20</v>
      </c>
      <c r="B11" s="1" t="s">
        <v>21</v>
      </c>
    </row>
    <row r="12" spans="1:2" x14ac:dyDescent="0.3">
      <c r="A12" s="4" t="s">
        <v>22</v>
      </c>
      <c r="B12" s="1" t="s">
        <v>23</v>
      </c>
    </row>
    <row r="13" spans="1:2" x14ac:dyDescent="0.3">
      <c r="A13" s="4" t="s">
        <v>24</v>
      </c>
      <c r="B13" s="1" t="s">
        <v>25</v>
      </c>
    </row>
    <row r="14" spans="1:2" x14ac:dyDescent="0.3">
      <c r="A14" s="4" t="s">
        <v>26</v>
      </c>
      <c r="B14" s="1" t="s">
        <v>27</v>
      </c>
    </row>
    <row r="15" spans="1:2" x14ac:dyDescent="0.3">
      <c r="A15" s="4" t="s">
        <v>28</v>
      </c>
      <c r="B15" s="1" t="s">
        <v>29</v>
      </c>
    </row>
    <row r="16" spans="1:2" x14ac:dyDescent="0.3">
      <c r="A16" s="4" t="s">
        <v>30</v>
      </c>
      <c r="B16" s="1" t="s">
        <v>31</v>
      </c>
    </row>
    <row r="17" spans="1:2" x14ac:dyDescent="0.3">
      <c r="A17" s="4" t="s">
        <v>32</v>
      </c>
      <c r="B17" s="1" t="s">
        <v>33</v>
      </c>
    </row>
    <row r="18" spans="1:2" x14ac:dyDescent="0.3">
      <c r="A18" s="4" t="s">
        <v>34</v>
      </c>
      <c r="B18" s="1" t="s">
        <v>35</v>
      </c>
    </row>
    <row r="19" spans="1:2" x14ac:dyDescent="0.3">
      <c r="A19" s="4" t="s">
        <v>36</v>
      </c>
      <c r="B19" s="1" t="s">
        <v>37</v>
      </c>
    </row>
    <row r="20" spans="1:2" x14ac:dyDescent="0.3">
      <c r="A20" s="4" t="s">
        <v>38</v>
      </c>
      <c r="B20" s="1" t="s">
        <v>39</v>
      </c>
    </row>
    <row r="21" spans="1:2" x14ac:dyDescent="0.3">
      <c r="A21" s="4" t="s">
        <v>40</v>
      </c>
      <c r="B21" s="1" t="s">
        <v>41</v>
      </c>
    </row>
    <row r="22" spans="1:2" x14ac:dyDescent="0.3">
      <c r="A22" s="4" t="s">
        <v>40</v>
      </c>
      <c r="B22" s="1" t="s">
        <v>42</v>
      </c>
    </row>
    <row r="23" spans="1:2" x14ac:dyDescent="0.3">
      <c r="A23" s="4" t="s">
        <v>43</v>
      </c>
      <c r="B23" s="1" t="s">
        <v>44</v>
      </c>
    </row>
    <row r="24" spans="1:2" x14ac:dyDescent="0.3">
      <c r="A24" s="4" t="s">
        <v>45</v>
      </c>
      <c r="B24" s="1" t="s">
        <v>46</v>
      </c>
    </row>
    <row r="25" spans="1:2" x14ac:dyDescent="0.3">
      <c r="A25" s="4" t="s">
        <v>47</v>
      </c>
      <c r="B25" s="1" t="s">
        <v>48</v>
      </c>
    </row>
    <row r="26" spans="1:2" x14ac:dyDescent="0.3">
      <c r="A26" s="4" t="s">
        <v>34</v>
      </c>
      <c r="B26" s="1" t="s">
        <v>35</v>
      </c>
    </row>
    <row r="27" spans="1:2" x14ac:dyDescent="0.3">
      <c r="A27" s="4" t="s">
        <v>49</v>
      </c>
      <c r="B27" s="1" t="s">
        <v>50</v>
      </c>
    </row>
    <row r="28" spans="1:2" x14ac:dyDescent="0.3">
      <c r="A28" s="4" t="s">
        <v>51</v>
      </c>
      <c r="B28" s="1" t="s">
        <v>52</v>
      </c>
    </row>
    <row r="29" spans="1:2" x14ac:dyDescent="0.3">
      <c r="A29" s="4" t="s">
        <v>53</v>
      </c>
      <c r="B29" s="1" t="s">
        <v>54</v>
      </c>
    </row>
    <row r="30" spans="1:2" x14ac:dyDescent="0.3">
      <c r="A30" s="4" t="s">
        <v>55</v>
      </c>
      <c r="B30" s="1" t="s">
        <v>56</v>
      </c>
    </row>
    <row r="31" spans="1:2" x14ac:dyDescent="0.3">
      <c r="A31" s="4" t="s">
        <v>57</v>
      </c>
      <c r="B31" s="1" t="s">
        <v>58</v>
      </c>
    </row>
    <row r="32" spans="1:2" x14ac:dyDescent="0.3">
      <c r="A32" s="4" t="s">
        <v>59</v>
      </c>
      <c r="B32" s="1" t="s">
        <v>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5FB6-38CB-428F-8D5E-1912F8E4C3DD}">
  <sheetPr>
    <tabColor theme="1"/>
  </sheetPr>
  <dimension ref="A1:E28"/>
  <sheetViews>
    <sheetView workbookViewId="0">
      <selection activeCell="B3" sqref="B3"/>
    </sheetView>
  </sheetViews>
  <sheetFormatPr defaultRowHeight="17.399999999999999" x14ac:dyDescent="0.4"/>
  <cols>
    <col min="1" max="1" width="19.6640625" style="16" customWidth="1"/>
    <col min="2" max="2" width="18.88671875" style="16" customWidth="1"/>
    <col min="3" max="3" width="29.5546875" style="16" customWidth="1"/>
    <col min="4" max="4" width="50.5546875" style="16" customWidth="1"/>
    <col min="5" max="5" width="46.109375" style="16" customWidth="1"/>
    <col min="6" max="16384" width="8.88671875" style="16"/>
  </cols>
  <sheetData>
    <row r="1" spans="1:5" x14ac:dyDescent="0.4">
      <c r="A1" s="11" t="s">
        <v>68</v>
      </c>
      <c r="B1" s="12" t="s">
        <v>69</v>
      </c>
      <c r="C1" s="13" t="s">
        <v>70</v>
      </c>
      <c r="D1" s="14" t="s">
        <v>71</v>
      </c>
      <c r="E1" s="15" t="s">
        <v>72</v>
      </c>
    </row>
    <row r="2" spans="1:5" ht="34.799999999999997" x14ac:dyDescent="0.4">
      <c r="A2" s="17" t="s">
        <v>428</v>
      </c>
      <c r="B2" s="18" t="s">
        <v>2037</v>
      </c>
      <c r="C2" s="19" t="s">
        <v>2000</v>
      </c>
      <c r="D2" s="32" t="s">
        <v>2027</v>
      </c>
      <c r="E2" s="21" t="s">
        <v>2001</v>
      </c>
    </row>
    <row r="3" spans="1:5" ht="34.799999999999997" x14ac:dyDescent="0.4">
      <c r="A3" s="17" t="s">
        <v>455</v>
      </c>
      <c r="B3" s="18" t="s">
        <v>2002</v>
      </c>
      <c r="C3" s="19" t="s">
        <v>2003</v>
      </c>
      <c r="D3" s="32" t="s">
        <v>2028</v>
      </c>
      <c r="E3" s="21" t="s">
        <v>2004</v>
      </c>
    </row>
    <row r="4" spans="1:5" ht="34.799999999999997" x14ac:dyDescent="0.4">
      <c r="A4" s="17" t="s">
        <v>456</v>
      </c>
      <c r="B4" s="18" t="s">
        <v>2005</v>
      </c>
      <c r="C4" s="19" t="s">
        <v>2006</v>
      </c>
      <c r="D4" s="32" t="s">
        <v>2029</v>
      </c>
      <c r="E4" s="21" t="s">
        <v>2007</v>
      </c>
    </row>
    <row r="5" spans="1:5" ht="34.799999999999997" x14ac:dyDescent="0.4">
      <c r="A5" s="17" t="s">
        <v>457</v>
      </c>
      <c r="B5" s="18" t="s">
        <v>2008</v>
      </c>
      <c r="C5" s="19" t="s">
        <v>2009</v>
      </c>
      <c r="D5" s="32" t="s">
        <v>2030</v>
      </c>
      <c r="E5" s="21" t="s">
        <v>2010</v>
      </c>
    </row>
    <row r="6" spans="1:5" ht="34.799999999999997" x14ac:dyDescent="0.4">
      <c r="A6" s="17" t="s">
        <v>2011</v>
      </c>
      <c r="B6" s="18" t="s">
        <v>2012</v>
      </c>
      <c r="C6" s="19" t="s">
        <v>2013</v>
      </c>
      <c r="D6" s="32" t="s">
        <v>2031</v>
      </c>
      <c r="E6" s="21" t="s">
        <v>2014</v>
      </c>
    </row>
    <row r="7" spans="1:5" ht="34.799999999999997" x14ac:dyDescent="0.4">
      <c r="A7" s="17" t="s">
        <v>525</v>
      </c>
      <c r="B7" s="18" t="s">
        <v>2015</v>
      </c>
      <c r="C7" s="19" t="s">
        <v>2016</v>
      </c>
      <c r="D7" s="32" t="s">
        <v>2032</v>
      </c>
      <c r="E7" s="21" t="s">
        <v>2017</v>
      </c>
    </row>
    <row r="8" spans="1:5" ht="34.799999999999997" x14ac:dyDescent="0.4">
      <c r="A8" s="17" t="s">
        <v>526</v>
      </c>
      <c r="B8" s="18" t="s">
        <v>2018</v>
      </c>
      <c r="C8" s="19" t="s">
        <v>2019</v>
      </c>
      <c r="D8" s="32" t="s">
        <v>2033</v>
      </c>
      <c r="E8" s="21" t="s">
        <v>2020</v>
      </c>
    </row>
    <row r="9" spans="1:5" ht="69.599999999999994" x14ac:dyDescent="0.4">
      <c r="A9" s="17" t="s">
        <v>2021</v>
      </c>
      <c r="B9" s="18" t="s">
        <v>2022</v>
      </c>
      <c r="C9" s="19" t="s">
        <v>2023</v>
      </c>
      <c r="D9" s="32" t="s">
        <v>2034</v>
      </c>
      <c r="E9" s="21" t="s">
        <v>2036</v>
      </c>
    </row>
    <row r="10" spans="1:5" ht="69.599999999999994" x14ac:dyDescent="0.4">
      <c r="A10" s="17" t="s">
        <v>530</v>
      </c>
      <c r="B10" s="18" t="s">
        <v>2024</v>
      </c>
      <c r="C10" s="19" t="s">
        <v>2025</v>
      </c>
      <c r="D10" s="32" t="s">
        <v>2035</v>
      </c>
      <c r="E10" s="21" t="s">
        <v>2026</v>
      </c>
    </row>
    <row r="11" spans="1:5" ht="52.2" x14ac:dyDescent="0.4">
      <c r="A11" s="17" t="s">
        <v>64</v>
      </c>
      <c r="B11" s="18" t="s">
        <v>122</v>
      </c>
      <c r="C11" s="19" t="s">
        <v>123</v>
      </c>
      <c r="D11" s="32" t="s">
        <v>149</v>
      </c>
      <c r="E11" s="20" t="s">
        <v>124</v>
      </c>
    </row>
    <row r="12" spans="1:5" ht="34.799999999999997" x14ac:dyDescent="0.4">
      <c r="A12" s="17" t="s">
        <v>125</v>
      </c>
      <c r="B12" s="18" t="s">
        <v>126</v>
      </c>
      <c r="C12" s="19" t="s">
        <v>127</v>
      </c>
      <c r="D12" s="32" t="s">
        <v>150</v>
      </c>
      <c r="E12" s="20" t="s">
        <v>128</v>
      </c>
    </row>
    <row r="13" spans="1:5" ht="34.799999999999997" x14ac:dyDescent="0.4">
      <c r="A13" s="17" t="s">
        <v>129</v>
      </c>
      <c r="B13" s="18" t="s">
        <v>130</v>
      </c>
      <c r="C13" s="19" t="s">
        <v>131</v>
      </c>
      <c r="D13" s="32" t="s">
        <v>151</v>
      </c>
      <c r="E13" s="20" t="s">
        <v>132</v>
      </c>
    </row>
    <row r="14" spans="1:5" ht="52.2" x14ac:dyDescent="0.4">
      <c r="A14" s="17" t="s">
        <v>65</v>
      </c>
      <c r="B14" s="18" t="s">
        <v>133</v>
      </c>
      <c r="C14" s="19" t="s">
        <v>134</v>
      </c>
      <c r="D14" s="32" t="s">
        <v>152</v>
      </c>
      <c r="E14" s="20" t="s">
        <v>156</v>
      </c>
    </row>
    <row r="15" spans="1:5" ht="34.799999999999997" x14ac:dyDescent="0.4">
      <c r="A15" s="17" t="s">
        <v>135</v>
      </c>
      <c r="B15" s="18" t="s">
        <v>136</v>
      </c>
      <c r="C15" s="19" t="s">
        <v>137</v>
      </c>
      <c r="D15" s="32" t="s">
        <v>153</v>
      </c>
      <c r="E15" s="20" t="s">
        <v>138</v>
      </c>
    </row>
    <row r="16" spans="1:5" ht="34.799999999999997" x14ac:dyDescent="0.4">
      <c r="A16" s="17" t="s">
        <v>139</v>
      </c>
      <c r="B16" s="18" t="s">
        <v>140</v>
      </c>
      <c r="C16" s="19" t="s">
        <v>141</v>
      </c>
      <c r="D16" s="32" t="s">
        <v>157</v>
      </c>
      <c r="E16" s="20" t="s">
        <v>142</v>
      </c>
    </row>
    <row r="17" spans="1:5" x14ac:dyDescent="0.4">
      <c r="A17" s="17" t="b">
        <v>1</v>
      </c>
      <c r="B17" s="18" t="s">
        <v>143</v>
      </c>
      <c r="C17" s="19" t="s">
        <v>144</v>
      </c>
      <c r="D17" s="33" t="s">
        <v>154</v>
      </c>
      <c r="E17" s="20" t="s">
        <v>145</v>
      </c>
    </row>
    <row r="18" spans="1:5" x14ac:dyDescent="0.4">
      <c r="A18" s="17" t="b">
        <v>0</v>
      </c>
      <c r="B18" s="18" t="s">
        <v>146</v>
      </c>
      <c r="C18" s="19" t="s">
        <v>147</v>
      </c>
      <c r="D18" s="33" t="s">
        <v>155</v>
      </c>
      <c r="E18" s="20" t="s">
        <v>148</v>
      </c>
    </row>
    <row r="19" spans="1:5" ht="52.2" x14ac:dyDescent="0.4">
      <c r="A19" s="17" t="s">
        <v>73</v>
      </c>
      <c r="B19" s="18" t="s">
        <v>74</v>
      </c>
      <c r="C19" s="19" t="s">
        <v>75</v>
      </c>
      <c r="D19" s="20" t="s">
        <v>76</v>
      </c>
      <c r="E19" s="21" t="s">
        <v>77</v>
      </c>
    </row>
    <row r="20" spans="1:5" x14ac:dyDescent="0.4">
      <c r="A20" s="22" t="s">
        <v>78</v>
      </c>
      <c r="B20" s="23" t="s">
        <v>79</v>
      </c>
      <c r="C20" s="24" t="s">
        <v>80</v>
      </c>
      <c r="D20" s="25" t="s">
        <v>81</v>
      </c>
      <c r="E20" s="26" t="s">
        <v>82</v>
      </c>
    </row>
    <row r="21" spans="1:5" x14ac:dyDescent="0.4">
      <c r="A21" s="22" t="s">
        <v>83</v>
      </c>
      <c r="B21" s="23" t="s">
        <v>84</v>
      </c>
      <c r="C21" s="24" t="s">
        <v>85</v>
      </c>
      <c r="D21" s="25" t="s">
        <v>86</v>
      </c>
      <c r="E21" s="26" t="s">
        <v>82</v>
      </c>
    </row>
    <row r="22" spans="1:5" ht="34.799999999999997" x14ac:dyDescent="0.4">
      <c r="A22" s="22" t="s">
        <v>87</v>
      </c>
      <c r="B22" s="23" t="s">
        <v>88</v>
      </c>
      <c r="C22" s="24" t="s">
        <v>89</v>
      </c>
      <c r="D22" s="25" t="s">
        <v>90</v>
      </c>
      <c r="E22" s="26" t="s">
        <v>91</v>
      </c>
    </row>
    <row r="23" spans="1:5" ht="34.799999999999997" x14ac:dyDescent="0.4">
      <c r="A23" s="22" t="s">
        <v>92</v>
      </c>
      <c r="B23" s="23" t="s">
        <v>93</v>
      </c>
      <c r="C23" s="24" t="s">
        <v>94</v>
      </c>
      <c r="D23" s="25" t="s">
        <v>95</v>
      </c>
      <c r="E23" s="26" t="s">
        <v>96</v>
      </c>
    </row>
    <row r="24" spans="1:5" x14ac:dyDescent="0.4">
      <c r="A24" s="22" t="s">
        <v>97</v>
      </c>
      <c r="B24" s="23" t="s">
        <v>98</v>
      </c>
      <c r="C24" s="24" t="s">
        <v>99</v>
      </c>
      <c r="D24" s="25" t="s">
        <v>100</v>
      </c>
      <c r="E24" s="26" t="s">
        <v>101</v>
      </c>
    </row>
    <row r="25" spans="1:5" ht="34.799999999999997" x14ac:dyDescent="0.4">
      <c r="A25" s="22" t="s">
        <v>102</v>
      </c>
      <c r="B25" s="23" t="s">
        <v>103</v>
      </c>
      <c r="C25" s="24" t="s">
        <v>104</v>
      </c>
      <c r="D25" s="25" t="s">
        <v>105</v>
      </c>
      <c r="E25" s="26" t="s">
        <v>106</v>
      </c>
    </row>
    <row r="26" spans="1:5" ht="34.799999999999997" x14ac:dyDescent="0.4">
      <c r="A26" s="22" t="s">
        <v>107</v>
      </c>
      <c r="B26" s="23" t="s">
        <v>108</v>
      </c>
      <c r="C26" s="24" t="s">
        <v>109</v>
      </c>
      <c r="D26" s="25" t="s">
        <v>110</v>
      </c>
      <c r="E26" s="26" t="s">
        <v>111</v>
      </c>
    </row>
    <row r="27" spans="1:5" ht="34.799999999999997" x14ac:dyDescent="0.4">
      <c r="A27" s="22" t="s">
        <v>112</v>
      </c>
      <c r="B27" s="23" t="s">
        <v>113</v>
      </c>
      <c r="C27" s="24" t="s">
        <v>114</v>
      </c>
      <c r="D27" s="25" t="s">
        <v>115</v>
      </c>
      <c r="E27" s="26" t="s">
        <v>116</v>
      </c>
    </row>
    <row r="28" spans="1:5" ht="52.2" x14ac:dyDescent="0.4">
      <c r="A28" s="27" t="s">
        <v>117</v>
      </c>
      <c r="B28" s="28" t="s">
        <v>118</v>
      </c>
      <c r="C28" s="29" t="s">
        <v>119</v>
      </c>
      <c r="D28" s="30" t="s">
        <v>120</v>
      </c>
      <c r="E28" s="31" t="s">
        <v>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2ACF7-7811-4A97-8738-709F480542E1}">
  <sheetPr>
    <tabColor rgb="FF92D050"/>
  </sheetPr>
  <dimension ref="A1:J23"/>
  <sheetViews>
    <sheetView workbookViewId="0">
      <selection activeCell="J5" sqref="J5"/>
    </sheetView>
  </sheetViews>
  <sheetFormatPr defaultRowHeight="15.6" x14ac:dyDescent="0.35"/>
  <cols>
    <col min="1" max="1" width="20.77734375" style="36" bestFit="1" customWidth="1"/>
    <col min="2" max="5" width="16.21875" style="36" customWidth="1"/>
    <col min="6" max="6" width="17.109375" style="36" customWidth="1"/>
    <col min="7" max="7" width="8.88671875" style="36"/>
    <col min="8" max="8" width="20" style="36" bestFit="1" customWidth="1"/>
    <col min="9" max="9" width="33.6640625" style="36" customWidth="1"/>
    <col min="10" max="10" width="26.21875" style="36" customWidth="1"/>
    <col min="11" max="16384" width="8.88671875" style="36"/>
  </cols>
  <sheetData>
    <row r="1" spans="1:10" ht="19.8" x14ac:dyDescent="0.45">
      <c r="A1" s="128" t="s">
        <v>430</v>
      </c>
      <c r="B1" s="128"/>
      <c r="C1" s="128"/>
      <c r="D1" s="128"/>
      <c r="H1" s="59" t="s">
        <v>436</v>
      </c>
      <c r="I1" s="59" t="s">
        <v>66</v>
      </c>
      <c r="J1" s="59" t="s">
        <v>175</v>
      </c>
    </row>
    <row r="2" spans="1:10" ht="18" x14ac:dyDescent="0.35">
      <c r="A2" s="58" t="s">
        <v>431</v>
      </c>
      <c r="B2" s="129" t="s">
        <v>429</v>
      </c>
      <c r="C2" s="129"/>
      <c r="D2" s="129"/>
      <c r="H2" s="50" t="s">
        <v>78</v>
      </c>
      <c r="I2" s="53" t="s">
        <v>437</v>
      </c>
      <c r="J2" s="152">
        <f>SUM(E7:E23)</f>
        <v>261668</v>
      </c>
    </row>
    <row r="3" spans="1:10" ht="18" x14ac:dyDescent="0.35">
      <c r="A3" s="58" t="s">
        <v>432</v>
      </c>
      <c r="B3" s="129" t="s">
        <v>434</v>
      </c>
      <c r="C3" s="129"/>
      <c r="D3" s="129"/>
      <c r="H3" s="50" t="s">
        <v>428</v>
      </c>
      <c r="I3" s="53" t="s">
        <v>438</v>
      </c>
      <c r="J3" s="53">
        <f>SUMIFS(E7:E23,B7:B23,"Telefon")</f>
        <v>77035</v>
      </c>
    </row>
    <row r="4" spans="1:10" ht="31.2" x14ac:dyDescent="0.35">
      <c r="A4" s="61" t="s">
        <v>433</v>
      </c>
      <c r="B4" s="130" t="s">
        <v>435</v>
      </c>
      <c r="C4" s="130"/>
      <c r="D4" s="130"/>
      <c r="H4" s="50" t="s">
        <v>428</v>
      </c>
      <c r="I4" s="60" t="s">
        <v>439</v>
      </c>
      <c r="J4" s="53">
        <f>SUMIFS(E7:E23,A7:A23,"Samsung",B7:B23,"Telefon")</f>
        <v>67655</v>
      </c>
    </row>
    <row r="5" spans="1:10" customFormat="1" ht="31.2" x14ac:dyDescent="0.35">
      <c r="H5" s="50" t="s">
        <v>428</v>
      </c>
      <c r="I5" s="60" t="s">
        <v>440</v>
      </c>
      <c r="J5" s="10">
        <f>SUMIFS(E7:E23,C7:C23,"&gt;1000",A7:A23,"samsung",B7:B23,"Telefon")</f>
        <v>64990</v>
      </c>
    </row>
    <row r="6" spans="1:10" ht="19.8" x14ac:dyDescent="0.35">
      <c r="A6" s="34" t="s">
        <v>162</v>
      </c>
      <c r="B6" s="34" t="s">
        <v>163</v>
      </c>
      <c r="C6" s="34" t="s">
        <v>164</v>
      </c>
      <c r="D6" s="34" t="s">
        <v>165</v>
      </c>
      <c r="E6" s="34" t="s">
        <v>166</v>
      </c>
      <c r="F6" s="35" t="s">
        <v>167</v>
      </c>
      <c r="H6"/>
      <c r="I6"/>
      <c r="J6"/>
    </row>
    <row r="7" spans="1:10" ht="19.8" x14ac:dyDescent="0.35">
      <c r="A7" s="153" t="s">
        <v>169</v>
      </c>
      <c r="B7" s="154" t="s">
        <v>61</v>
      </c>
      <c r="C7" s="38">
        <v>533</v>
      </c>
      <c r="D7" s="37">
        <v>5</v>
      </c>
      <c r="E7" s="39">
        <v>2665</v>
      </c>
      <c r="F7" s="40">
        <v>45340</v>
      </c>
    </row>
    <row r="8" spans="1:10" ht="19.8" x14ac:dyDescent="0.35">
      <c r="A8" s="37" t="s">
        <v>170</v>
      </c>
      <c r="B8" s="37" t="s">
        <v>171</v>
      </c>
      <c r="C8" s="38">
        <v>649</v>
      </c>
      <c r="D8" s="37">
        <v>11</v>
      </c>
      <c r="E8" s="39">
        <v>7139</v>
      </c>
      <c r="F8" s="40">
        <v>45436</v>
      </c>
      <c r="H8" s="63" t="s">
        <v>442</v>
      </c>
      <c r="I8" s="50" t="s">
        <v>62</v>
      </c>
    </row>
    <row r="9" spans="1:10" ht="19.8" x14ac:dyDescent="0.35">
      <c r="A9" s="37" t="s">
        <v>174</v>
      </c>
      <c r="B9" s="37" t="s">
        <v>171</v>
      </c>
      <c r="C9" s="155">
        <v>1678</v>
      </c>
      <c r="D9" s="37">
        <v>15</v>
      </c>
      <c r="E9" s="39">
        <v>25170</v>
      </c>
      <c r="F9" s="40">
        <v>45385</v>
      </c>
      <c r="H9" s="63" t="s">
        <v>164</v>
      </c>
      <c r="I9" s="50">
        <v>1200</v>
      </c>
      <c r="J9"/>
    </row>
    <row r="10" spans="1:10" ht="19.8" x14ac:dyDescent="0.35">
      <c r="A10" s="37" t="s">
        <v>170</v>
      </c>
      <c r="B10" s="37" t="s">
        <v>62</v>
      </c>
      <c r="C10" s="155">
        <v>1354</v>
      </c>
      <c r="D10" s="37">
        <v>6</v>
      </c>
      <c r="E10" s="39">
        <v>8124</v>
      </c>
      <c r="F10" s="40">
        <v>45409</v>
      </c>
      <c r="H10" s="131" t="s">
        <v>441</v>
      </c>
      <c r="I10" s="131"/>
      <c r="J10" s="131"/>
    </row>
    <row r="11" spans="1:10" ht="19.8" x14ac:dyDescent="0.35">
      <c r="A11" s="37" t="s">
        <v>176</v>
      </c>
      <c r="B11" s="37" t="s">
        <v>62</v>
      </c>
      <c r="C11" s="155">
        <v>1687</v>
      </c>
      <c r="D11" s="37">
        <v>15</v>
      </c>
      <c r="E11" s="39">
        <v>25305</v>
      </c>
      <c r="F11" s="40">
        <v>45426</v>
      </c>
      <c r="H11" s="50" t="s">
        <v>428</v>
      </c>
      <c r="I11" s="62" t="s">
        <v>443</v>
      </c>
      <c r="J11" s="10">
        <f>SUMIFS(D7:D23,B7:B23,I8)</f>
        <v>31</v>
      </c>
    </row>
    <row r="12" spans="1:10" ht="31.2" x14ac:dyDescent="0.35">
      <c r="A12" s="153" t="s">
        <v>169</v>
      </c>
      <c r="B12" s="154" t="s">
        <v>61</v>
      </c>
      <c r="C12" s="155">
        <v>1898</v>
      </c>
      <c r="D12" s="37">
        <v>20</v>
      </c>
      <c r="E12" s="39">
        <v>37960</v>
      </c>
      <c r="F12" s="40">
        <v>45314</v>
      </c>
      <c r="H12" s="50" t="s">
        <v>428</v>
      </c>
      <c r="I12" s="60" t="s">
        <v>444</v>
      </c>
      <c r="J12" s="10">
        <f>SUMIFS(D7:D23,C7:C23,"&gt;"&amp;I9)</f>
        <v>100</v>
      </c>
    </row>
    <row r="13" spans="1:10" ht="19.8" x14ac:dyDescent="0.35">
      <c r="A13" s="37" t="s">
        <v>174</v>
      </c>
      <c r="B13" s="37" t="s">
        <v>171</v>
      </c>
      <c r="C13" s="155">
        <v>1113</v>
      </c>
      <c r="D13" s="37">
        <v>13</v>
      </c>
      <c r="E13" s="39">
        <v>14469</v>
      </c>
      <c r="F13" s="40">
        <v>45344</v>
      </c>
      <c r="H13"/>
      <c r="I13"/>
      <c r="J13"/>
    </row>
    <row r="14" spans="1:10" ht="19.8" x14ac:dyDescent="0.35">
      <c r="A14" s="37" t="s">
        <v>170</v>
      </c>
      <c r="B14" s="37" t="s">
        <v>171</v>
      </c>
      <c r="C14" s="155">
        <v>1216</v>
      </c>
      <c r="D14" s="37">
        <v>10</v>
      </c>
      <c r="E14" s="39">
        <v>12160</v>
      </c>
      <c r="F14" s="40">
        <v>45310</v>
      </c>
      <c r="H14"/>
      <c r="I14" t="str">
        <f>"&gt;"&amp;I9</f>
        <v>&gt;1200</v>
      </c>
      <c r="J14"/>
    </row>
    <row r="15" spans="1:10" ht="19.8" x14ac:dyDescent="0.35">
      <c r="A15" s="37" t="s">
        <v>174</v>
      </c>
      <c r="B15" s="37" t="s">
        <v>177</v>
      </c>
      <c r="C15" s="155">
        <v>1508</v>
      </c>
      <c r="D15" s="37">
        <v>9</v>
      </c>
      <c r="E15" s="39">
        <v>13572</v>
      </c>
      <c r="F15" s="40">
        <v>45378</v>
      </c>
      <c r="H15"/>
      <c r="I15" t="s">
        <v>2038</v>
      </c>
      <c r="J15"/>
    </row>
    <row r="16" spans="1:10" ht="19.8" x14ac:dyDescent="0.35">
      <c r="A16" s="37" t="s">
        <v>174</v>
      </c>
      <c r="B16" s="37" t="s">
        <v>177</v>
      </c>
      <c r="C16" s="155">
        <v>1729</v>
      </c>
      <c r="D16" s="37">
        <v>10</v>
      </c>
      <c r="E16" s="39">
        <v>17290</v>
      </c>
      <c r="F16" s="40">
        <v>45379</v>
      </c>
      <c r="H16"/>
      <c r="I16" t="s">
        <v>2039</v>
      </c>
      <c r="J16"/>
    </row>
    <row r="17" spans="1:10" ht="19.8" x14ac:dyDescent="0.35">
      <c r="A17" s="37" t="s">
        <v>179</v>
      </c>
      <c r="B17" s="37" t="s">
        <v>63</v>
      </c>
      <c r="C17" s="38">
        <v>683</v>
      </c>
      <c r="D17" s="37">
        <v>14</v>
      </c>
      <c r="E17" s="39">
        <v>9562</v>
      </c>
      <c r="F17" s="40">
        <v>45309</v>
      </c>
      <c r="H17"/>
      <c r="I17" t="str">
        <f>I15&amp;" "&amp;I16</f>
        <v>Excel Microsof</v>
      </c>
      <c r="J17"/>
    </row>
    <row r="18" spans="1:10" ht="19.8" x14ac:dyDescent="0.35">
      <c r="A18" s="37" t="s">
        <v>181</v>
      </c>
      <c r="B18" s="37" t="s">
        <v>177</v>
      </c>
      <c r="C18" s="155">
        <v>1054</v>
      </c>
      <c r="D18" s="37">
        <v>19</v>
      </c>
      <c r="E18" s="39">
        <v>20026</v>
      </c>
      <c r="F18" s="40">
        <v>45328</v>
      </c>
      <c r="H18"/>
      <c r="I18"/>
      <c r="J18"/>
    </row>
    <row r="19" spans="1:10" ht="19.8" x14ac:dyDescent="0.35">
      <c r="A19" s="153" t="s">
        <v>169</v>
      </c>
      <c r="B19" s="154" t="s">
        <v>61</v>
      </c>
      <c r="C19" s="155">
        <v>1802</v>
      </c>
      <c r="D19" s="37">
        <v>15</v>
      </c>
      <c r="E19" s="39">
        <v>27030</v>
      </c>
      <c r="F19" s="40">
        <v>45322</v>
      </c>
    </row>
    <row r="20" spans="1:10" ht="19.8" x14ac:dyDescent="0.45">
      <c r="A20" s="37" t="s">
        <v>183</v>
      </c>
      <c r="B20" s="154" t="s">
        <v>61</v>
      </c>
      <c r="C20" s="38">
        <v>938</v>
      </c>
      <c r="D20" s="37">
        <v>10</v>
      </c>
      <c r="E20" s="39">
        <v>9380</v>
      </c>
      <c r="F20" s="40">
        <v>45325</v>
      </c>
      <c r="H20" s="43"/>
    </row>
    <row r="21" spans="1:10" ht="19.8" x14ac:dyDescent="0.35">
      <c r="A21" s="37" t="s">
        <v>183</v>
      </c>
      <c r="B21" s="37" t="s">
        <v>62</v>
      </c>
      <c r="C21" s="38">
        <v>652</v>
      </c>
      <c r="D21" s="37">
        <v>10</v>
      </c>
      <c r="E21" s="39">
        <v>6520</v>
      </c>
      <c r="F21" s="40">
        <v>45423</v>
      </c>
    </row>
    <row r="22" spans="1:10" ht="19.8" x14ac:dyDescent="0.35">
      <c r="A22" s="153" t="s">
        <v>169</v>
      </c>
      <c r="B22" s="37" t="s">
        <v>63</v>
      </c>
      <c r="C22" s="155">
        <v>1103</v>
      </c>
      <c r="D22" s="37">
        <v>12</v>
      </c>
      <c r="E22" s="39">
        <v>13236</v>
      </c>
      <c r="F22" s="40">
        <v>45418</v>
      </c>
    </row>
    <row r="23" spans="1:10" ht="19.8" x14ac:dyDescent="0.35">
      <c r="A23" s="37" t="s">
        <v>174</v>
      </c>
      <c r="B23" s="37" t="s">
        <v>177</v>
      </c>
      <c r="C23" s="38">
        <v>603</v>
      </c>
      <c r="D23" s="37">
        <v>20</v>
      </c>
      <c r="E23" s="39">
        <v>12060</v>
      </c>
      <c r="F23" s="40">
        <v>45343</v>
      </c>
    </row>
  </sheetData>
  <mergeCells count="5">
    <mergeCell ref="A1:D1"/>
    <mergeCell ref="B2:D2"/>
    <mergeCell ref="B3:D3"/>
    <mergeCell ref="B4:D4"/>
    <mergeCell ref="H10:J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944A-3F8B-40F9-B3F1-45668E83BD87}">
  <sheetPr>
    <tabColor rgb="FF92D050"/>
  </sheetPr>
  <dimension ref="A1:Q201"/>
  <sheetViews>
    <sheetView workbookViewId="0">
      <selection activeCell="I15" sqref="I15:J15"/>
    </sheetView>
  </sheetViews>
  <sheetFormatPr defaultRowHeight="15" x14ac:dyDescent="0.25"/>
  <cols>
    <col min="1" max="1" width="13.33203125" style="66" customWidth="1"/>
    <col min="2" max="2" width="18.44140625" style="66" customWidth="1"/>
    <col min="3" max="6" width="13.33203125" style="66" customWidth="1"/>
    <col min="7" max="7" width="12.109375" style="64" bestFit="1" customWidth="1"/>
    <col min="8" max="8" width="8.88671875" style="64"/>
    <col min="9" max="9" width="15.77734375" style="64" customWidth="1"/>
    <col min="10" max="10" width="16.109375" style="64" customWidth="1"/>
    <col min="11" max="11" width="8.88671875" style="64"/>
    <col min="12" max="12" width="13" style="64" customWidth="1"/>
    <col min="13" max="15" width="8.88671875" style="64"/>
    <col min="16" max="16" width="12.109375" style="64" hidden="1" customWidth="1"/>
    <col min="17" max="17" width="0" style="64" hidden="1" customWidth="1"/>
    <col min="18" max="16384" width="8.88671875" style="64"/>
  </cols>
  <sheetData>
    <row r="1" spans="1:17" ht="19.2" customHeight="1" x14ac:dyDescent="0.25">
      <c r="A1" s="67" t="s">
        <v>162</v>
      </c>
      <c r="B1" s="67" t="s">
        <v>163</v>
      </c>
      <c r="C1" s="67" t="s">
        <v>164</v>
      </c>
      <c r="D1" s="67" t="s">
        <v>165</v>
      </c>
      <c r="E1" s="67" t="s">
        <v>166</v>
      </c>
      <c r="F1" s="67" t="s">
        <v>167</v>
      </c>
      <c r="I1" s="132" t="s">
        <v>455</v>
      </c>
      <c r="J1" s="132"/>
      <c r="P1" s="65" t="s">
        <v>445</v>
      </c>
      <c r="Q1" s="65" t="s">
        <v>179</v>
      </c>
    </row>
    <row r="2" spans="1:17" ht="15.6" x14ac:dyDescent="0.25">
      <c r="A2" s="65" t="s">
        <v>179</v>
      </c>
      <c r="B2" s="65" t="s">
        <v>445</v>
      </c>
      <c r="C2" s="65">
        <v>2194</v>
      </c>
      <c r="D2" s="65">
        <v>23</v>
      </c>
      <c r="E2" s="68">
        <v>50462</v>
      </c>
      <c r="F2" s="70">
        <v>45543</v>
      </c>
      <c r="G2" s="69"/>
      <c r="I2" s="72" t="s">
        <v>67</v>
      </c>
      <c r="J2" s="72" t="s">
        <v>162</v>
      </c>
      <c r="P2" s="65" t="s">
        <v>454</v>
      </c>
      <c r="Q2" s="65" t="s">
        <v>446</v>
      </c>
    </row>
    <row r="3" spans="1:17" x14ac:dyDescent="0.25">
      <c r="A3" s="65" t="s">
        <v>446</v>
      </c>
      <c r="B3" s="65" t="s">
        <v>454</v>
      </c>
      <c r="C3" s="65">
        <v>320</v>
      </c>
      <c r="D3" s="65">
        <v>14</v>
      </c>
      <c r="E3" s="68">
        <v>4480</v>
      </c>
      <c r="F3" s="70">
        <v>45503</v>
      </c>
      <c r="G3" s="69"/>
      <c r="I3" s="65" t="s">
        <v>63</v>
      </c>
      <c r="J3" s="65" t="s">
        <v>176</v>
      </c>
      <c r="P3" s="65" t="s">
        <v>63</v>
      </c>
      <c r="Q3" s="65" t="s">
        <v>176</v>
      </c>
    </row>
    <row r="4" spans="1:17" ht="15.6" customHeight="1" x14ac:dyDescent="0.25">
      <c r="A4" s="65" t="s">
        <v>179</v>
      </c>
      <c r="B4" s="65" t="s">
        <v>454</v>
      </c>
      <c r="C4" s="65">
        <v>2344</v>
      </c>
      <c r="D4" s="65">
        <v>6</v>
      </c>
      <c r="E4" s="68">
        <v>14064</v>
      </c>
      <c r="F4" s="70">
        <v>45805</v>
      </c>
      <c r="G4" s="69"/>
      <c r="I4" s="134">
        <f>AVERAGEIFS(E2:E201,A2:A201,J3,B2:B201,I3)</f>
        <v>53212</v>
      </c>
      <c r="J4" s="134"/>
      <c r="P4" s="65" t="s">
        <v>171</v>
      </c>
      <c r="Q4" s="65" t="s">
        <v>447</v>
      </c>
    </row>
    <row r="5" spans="1:17" x14ac:dyDescent="0.25">
      <c r="A5" s="65" t="s">
        <v>176</v>
      </c>
      <c r="B5" s="65" t="s">
        <v>63</v>
      </c>
      <c r="C5" s="65">
        <v>1569</v>
      </c>
      <c r="D5" s="65">
        <v>3</v>
      </c>
      <c r="E5" s="68">
        <v>4707</v>
      </c>
      <c r="F5" s="70">
        <v>45463</v>
      </c>
      <c r="G5" s="69"/>
      <c r="P5" s="65" t="s">
        <v>448</v>
      </c>
      <c r="Q5" s="65" t="s">
        <v>449</v>
      </c>
    </row>
    <row r="6" spans="1:17" ht="15.6" x14ac:dyDescent="0.25">
      <c r="A6" s="65" t="s">
        <v>176</v>
      </c>
      <c r="B6" s="65" t="s">
        <v>454</v>
      </c>
      <c r="C6" s="65">
        <v>2393</v>
      </c>
      <c r="D6" s="65">
        <v>29</v>
      </c>
      <c r="E6" s="68">
        <v>69397</v>
      </c>
      <c r="F6" s="70">
        <v>45782</v>
      </c>
      <c r="G6" s="69"/>
      <c r="I6" s="133" t="s">
        <v>456</v>
      </c>
      <c r="J6" s="133"/>
      <c r="P6" s="65" t="s">
        <v>452</v>
      </c>
      <c r="Q6" s="65" t="s">
        <v>450</v>
      </c>
    </row>
    <row r="7" spans="1:17" ht="15.6" x14ac:dyDescent="0.25">
      <c r="A7" s="65" t="s">
        <v>447</v>
      </c>
      <c r="B7" s="65" t="s">
        <v>171</v>
      </c>
      <c r="C7" s="65">
        <v>393</v>
      </c>
      <c r="D7" s="65">
        <v>29</v>
      </c>
      <c r="E7" s="68">
        <v>11397</v>
      </c>
      <c r="F7" s="70">
        <v>45502</v>
      </c>
      <c r="G7" s="69"/>
      <c r="I7" s="71" t="s">
        <v>67</v>
      </c>
      <c r="J7" s="71" t="s">
        <v>162</v>
      </c>
      <c r="P7" s="65" t="s">
        <v>61</v>
      </c>
      <c r="Q7" s="65" t="s">
        <v>451</v>
      </c>
    </row>
    <row r="8" spans="1:17" x14ac:dyDescent="0.25">
      <c r="A8" s="65" t="s">
        <v>179</v>
      </c>
      <c r="B8" s="65" t="s">
        <v>448</v>
      </c>
      <c r="C8" s="65">
        <v>610</v>
      </c>
      <c r="D8" s="65">
        <v>12</v>
      </c>
      <c r="E8" s="68">
        <v>7320</v>
      </c>
      <c r="F8" s="70">
        <v>45698</v>
      </c>
      <c r="G8" s="69"/>
      <c r="I8" s="65" t="s">
        <v>171</v>
      </c>
      <c r="J8" s="65" t="s">
        <v>170</v>
      </c>
      <c r="Q8" s="65" t="s">
        <v>170</v>
      </c>
    </row>
    <row r="9" spans="1:17" x14ac:dyDescent="0.25">
      <c r="A9" s="65" t="s">
        <v>449</v>
      </c>
      <c r="B9" s="65" t="s">
        <v>448</v>
      </c>
      <c r="C9" s="65">
        <v>631</v>
      </c>
      <c r="D9" s="65">
        <v>11</v>
      </c>
      <c r="E9" s="68">
        <v>6941</v>
      </c>
      <c r="F9" s="70">
        <v>45594</v>
      </c>
      <c r="G9" s="69"/>
      <c r="I9" s="134">
        <f>_xlfn.MAXIFS(C2:C201,A2:A201,J8,B2:B201,I8)</f>
        <v>2900</v>
      </c>
      <c r="J9" s="134"/>
      <c r="Q9" s="65" t="s">
        <v>169</v>
      </c>
    </row>
    <row r="10" spans="1:17" x14ac:dyDescent="0.25">
      <c r="A10" s="65" t="s">
        <v>450</v>
      </c>
      <c r="B10" s="65" t="s">
        <v>448</v>
      </c>
      <c r="C10" s="65">
        <v>2655</v>
      </c>
      <c r="D10" s="65">
        <v>23</v>
      </c>
      <c r="E10" s="68">
        <v>61065</v>
      </c>
      <c r="F10" s="70">
        <v>45704</v>
      </c>
      <c r="G10" s="69"/>
      <c r="Q10" s="65" t="s">
        <v>453</v>
      </c>
    </row>
    <row r="11" spans="1:17" ht="15.6" x14ac:dyDescent="0.3">
      <c r="A11" s="65" t="s">
        <v>451</v>
      </c>
      <c r="B11" s="65" t="s">
        <v>445</v>
      </c>
      <c r="C11" s="65">
        <v>2407</v>
      </c>
      <c r="D11" s="65">
        <v>7</v>
      </c>
      <c r="E11" s="68">
        <v>16849</v>
      </c>
      <c r="F11" s="70">
        <v>45790</v>
      </c>
      <c r="G11" s="69"/>
      <c r="L11"/>
    </row>
    <row r="12" spans="1:17" ht="15.6" x14ac:dyDescent="0.3">
      <c r="A12" s="65" t="s">
        <v>446</v>
      </c>
      <c r="B12" s="65" t="s">
        <v>63</v>
      </c>
      <c r="C12" s="65">
        <v>2785</v>
      </c>
      <c r="D12" s="65">
        <v>6</v>
      </c>
      <c r="E12" s="68">
        <v>16710</v>
      </c>
      <c r="F12" s="70">
        <v>45649</v>
      </c>
      <c r="G12" s="69"/>
      <c r="I12" s="74" t="s">
        <v>457</v>
      </c>
      <c r="J12" s="74"/>
      <c r="L12"/>
    </row>
    <row r="13" spans="1:17" ht="15.6" x14ac:dyDescent="0.3">
      <c r="A13" s="65" t="s">
        <v>447</v>
      </c>
      <c r="B13" s="65" t="s">
        <v>452</v>
      </c>
      <c r="C13" s="65">
        <v>659</v>
      </c>
      <c r="D13" s="65">
        <v>19</v>
      </c>
      <c r="E13" s="68">
        <v>12521</v>
      </c>
      <c r="F13" s="70">
        <v>45482</v>
      </c>
      <c r="G13" s="69"/>
      <c r="I13" s="73" t="s">
        <v>67</v>
      </c>
      <c r="J13" s="73" t="s">
        <v>162</v>
      </c>
      <c r="L13"/>
    </row>
    <row r="14" spans="1:17" ht="15.6" x14ac:dyDescent="0.3">
      <c r="A14" s="65" t="s">
        <v>176</v>
      </c>
      <c r="B14" s="65" t="s">
        <v>448</v>
      </c>
      <c r="C14" s="65">
        <v>2066</v>
      </c>
      <c r="D14" s="65">
        <v>12</v>
      </c>
      <c r="E14" s="68">
        <v>24792</v>
      </c>
      <c r="F14" s="70">
        <v>45778</v>
      </c>
      <c r="G14" s="69"/>
      <c r="I14" s="65" t="s">
        <v>454</v>
      </c>
      <c r="J14" s="65" t="s">
        <v>169</v>
      </c>
      <c r="L14"/>
    </row>
    <row r="15" spans="1:17" ht="15.6" x14ac:dyDescent="0.3">
      <c r="A15" s="65" t="s">
        <v>170</v>
      </c>
      <c r="B15" s="65" t="s">
        <v>63</v>
      </c>
      <c r="C15" s="65">
        <v>2865</v>
      </c>
      <c r="D15" s="65">
        <v>20</v>
      </c>
      <c r="E15" s="68">
        <v>57300</v>
      </c>
      <c r="F15" s="70">
        <v>45484</v>
      </c>
      <c r="G15" s="69"/>
      <c r="I15" s="134">
        <f>_xlfn.MINIFS(C2:C201,A2:A201,J14,B2:B201,I14)</f>
        <v>267</v>
      </c>
      <c r="J15" s="134"/>
      <c r="L15"/>
    </row>
    <row r="16" spans="1:17" ht="15.6" x14ac:dyDescent="0.3">
      <c r="A16" s="65" t="s">
        <v>450</v>
      </c>
      <c r="B16" s="65" t="s">
        <v>452</v>
      </c>
      <c r="C16" s="65">
        <v>1690</v>
      </c>
      <c r="D16" s="65">
        <v>40</v>
      </c>
      <c r="E16" s="68">
        <v>67600</v>
      </c>
      <c r="F16" s="70">
        <v>45483</v>
      </c>
      <c r="G16" s="69"/>
      <c r="L16"/>
    </row>
    <row r="17" spans="1:12" ht="15.6" x14ac:dyDescent="0.3">
      <c r="A17" s="65" t="s">
        <v>169</v>
      </c>
      <c r="B17" s="65" t="s">
        <v>452</v>
      </c>
      <c r="C17" s="65">
        <v>1782</v>
      </c>
      <c r="D17" s="65">
        <v>16</v>
      </c>
      <c r="E17" s="68">
        <v>28512</v>
      </c>
      <c r="F17" s="70">
        <v>45629</v>
      </c>
      <c r="G17" s="69"/>
      <c r="I17"/>
      <c r="L17"/>
    </row>
    <row r="18" spans="1:12" ht="15.6" x14ac:dyDescent="0.3">
      <c r="A18" s="65" t="s">
        <v>169</v>
      </c>
      <c r="B18" s="65" t="s">
        <v>454</v>
      </c>
      <c r="C18" s="65">
        <v>395</v>
      </c>
      <c r="D18" s="65">
        <v>35</v>
      </c>
      <c r="E18" s="68">
        <v>13825</v>
      </c>
      <c r="F18" s="70">
        <v>45728</v>
      </c>
      <c r="G18" s="69"/>
      <c r="I18"/>
      <c r="L18"/>
    </row>
    <row r="19" spans="1:12" ht="15.6" x14ac:dyDescent="0.3">
      <c r="A19" s="65" t="s">
        <v>450</v>
      </c>
      <c r="B19" s="65" t="s">
        <v>448</v>
      </c>
      <c r="C19" s="65">
        <v>1192</v>
      </c>
      <c r="D19" s="65">
        <v>5</v>
      </c>
      <c r="E19" s="68">
        <v>5960</v>
      </c>
      <c r="F19" s="70">
        <v>45604</v>
      </c>
      <c r="G19" s="69"/>
      <c r="I19"/>
      <c r="L19"/>
    </row>
    <row r="20" spans="1:12" ht="15.6" x14ac:dyDescent="0.3">
      <c r="A20" s="65" t="s">
        <v>169</v>
      </c>
      <c r="B20" s="65" t="s">
        <v>63</v>
      </c>
      <c r="C20" s="65">
        <v>2101</v>
      </c>
      <c r="D20" s="65">
        <v>20</v>
      </c>
      <c r="E20" s="68">
        <v>42020</v>
      </c>
      <c r="F20" s="70">
        <v>45504</v>
      </c>
      <c r="G20" s="69"/>
      <c r="I20"/>
      <c r="L20"/>
    </row>
    <row r="21" spans="1:12" ht="15.6" x14ac:dyDescent="0.3">
      <c r="A21" s="65" t="s">
        <v>447</v>
      </c>
      <c r="B21" s="65" t="s">
        <v>454</v>
      </c>
      <c r="C21" s="65">
        <v>1329</v>
      </c>
      <c r="D21" s="65">
        <v>17</v>
      </c>
      <c r="E21" s="68">
        <v>22593</v>
      </c>
      <c r="F21" s="70">
        <v>45659</v>
      </c>
      <c r="G21" s="69"/>
      <c r="I21"/>
      <c r="L21"/>
    </row>
    <row r="22" spans="1:12" ht="15.6" x14ac:dyDescent="0.3">
      <c r="A22" s="65" t="s">
        <v>446</v>
      </c>
      <c r="B22" s="65" t="s">
        <v>63</v>
      </c>
      <c r="C22" s="65">
        <v>765</v>
      </c>
      <c r="D22" s="65">
        <v>20</v>
      </c>
      <c r="E22" s="68">
        <v>15300</v>
      </c>
      <c r="F22" s="70">
        <v>45465</v>
      </c>
      <c r="G22" s="69"/>
      <c r="I22"/>
      <c r="L22"/>
    </row>
    <row r="23" spans="1:12" ht="15.6" x14ac:dyDescent="0.3">
      <c r="A23" s="65" t="s">
        <v>169</v>
      </c>
      <c r="B23" s="65" t="s">
        <v>452</v>
      </c>
      <c r="C23" s="65">
        <v>2065</v>
      </c>
      <c r="D23" s="65">
        <v>37</v>
      </c>
      <c r="E23" s="68">
        <v>76405</v>
      </c>
      <c r="F23" s="70">
        <v>45477</v>
      </c>
      <c r="G23" s="69"/>
      <c r="I23"/>
      <c r="L23"/>
    </row>
    <row r="24" spans="1:12" ht="15.6" x14ac:dyDescent="0.3">
      <c r="A24" s="65" t="s">
        <v>453</v>
      </c>
      <c r="B24" s="65" t="s">
        <v>171</v>
      </c>
      <c r="C24" s="65">
        <v>824</v>
      </c>
      <c r="D24" s="65">
        <v>26</v>
      </c>
      <c r="E24" s="68">
        <v>21424</v>
      </c>
      <c r="F24" s="70">
        <v>45603</v>
      </c>
      <c r="G24" s="69"/>
      <c r="I24"/>
      <c r="L24"/>
    </row>
    <row r="25" spans="1:12" ht="15.6" x14ac:dyDescent="0.3">
      <c r="A25" s="65" t="s">
        <v>169</v>
      </c>
      <c r="B25" s="65" t="s">
        <v>61</v>
      </c>
      <c r="C25" s="65">
        <v>2936</v>
      </c>
      <c r="D25" s="65">
        <v>6</v>
      </c>
      <c r="E25" s="68">
        <v>17616</v>
      </c>
      <c r="F25" s="70">
        <v>45715</v>
      </c>
      <c r="G25" s="69"/>
      <c r="I25"/>
      <c r="L25"/>
    </row>
    <row r="26" spans="1:12" ht="15.6" x14ac:dyDescent="0.3">
      <c r="A26" s="65" t="s">
        <v>451</v>
      </c>
      <c r="B26" s="65" t="s">
        <v>448</v>
      </c>
      <c r="C26" s="65">
        <v>261</v>
      </c>
      <c r="D26" s="65">
        <v>50</v>
      </c>
      <c r="E26" s="68">
        <v>13050</v>
      </c>
      <c r="F26" s="70">
        <v>45711</v>
      </c>
      <c r="G26" s="69"/>
      <c r="I26"/>
      <c r="L26"/>
    </row>
    <row r="27" spans="1:12" ht="15.6" x14ac:dyDescent="0.3">
      <c r="A27" s="65" t="s">
        <v>451</v>
      </c>
      <c r="B27" s="65" t="s">
        <v>448</v>
      </c>
      <c r="C27" s="65">
        <v>1587</v>
      </c>
      <c r="D27" s="65">
        <v>42</v>
      </c>
      <c r="E27" s="68">
        <v>66654</v>
      </c>
      <c r="F27" s="70">
        <v>45778</v>
      </c>
      <c r="G27" s="69"/>
      <c r="I27"/>
      <c r="L27"/>
    </row>
    <row r="28" spans="1:12" ht="15.6" x14ac:dyDescent="0.3">
      <c r="A28" s="65" t="s">
        <v>453</v>
      </c>
      <c r="B28" s="65" t="s">
        <v>63</v>
      </c>
      <c r="C28" s="65">
        <v>2371</v>
      </c>
      <c r="D28" s="65">
        <v>18</v>
      </c>
      <c r="E28" s="68">
        <v>42678</v>
      </c>
      <c r="F28" s="70">
        <v>45477</v>
      </c>
      <c r="G28" s="69"/>
      <c r="I28"/>
      <c r="L28"/>
    </row>
    <row r="29" spans="1:12" ht="15.6" x14ac:dyDescent="0.3">
      <c r="A29" s="65" t="s">
        <v>446</v>
      </c>
      <c r="B29" s="65" t="s">
        <v>171</v>
      </c>
      <c r="C29" s="65">
        <v>2045</v>
      </c>
      <c r="D29" s="65">
        <v>21</v>
      </c>
      <c r="E29" s="68">
        <v>42945</v>
      </c>
      <c r="F29" s="70">
        <v>45735</v>
      </c>
      <c r="G29" s="69"/>
      <c r="I29"/>
      <c r="L29"/>
    </row>
    <row r="30" spans="1:12" ht="15.6" x14ac:dyDescent="0.3">
      <c r="A30" s="65" t="s">
        <v>449</v>
      </c>
      <c r="B30" s="65" t="s">
        <v>171</v>
      </c>
      <c r="C30" s="65">
        <v>2928</v>
      </c>
      <c r="D30" s="65">
        <v>21</v>
      </c>
      <c r="E30" s="68">
        <v>61488</v>
      </c>
      <c r="F30" s="70">
        <v>45739</v>
      </c>
      <c r="G30" s="69"/>
      <c r="I30"/>
      <c r="L30"/>
    </row>
    <row r="31" spans="1:12" ht="15.6" x14ac:dyDescent="0.3">
      <c r="A31" s="65" t="s">
        <v>170</v>
      </c>
      <c r="B31" s="65" t="s">
        <v>454</v>
      </c>
      <c r="C31" s="65">
        <v>2622</v>
      </c>
      <c r="D31" s="65">
        <v>6</v>
      </c>
      <c r="E31" s="68">
        <v>15732</v>
      </c>
      <c r="F31" s="70">
        <v>45698</v>
      </c>
      <c r="G31" s="69"/>
      <c r="I31"/>
      <c r="L31"/>
    </row>
    <row r="32" spans="1:12" ht="15.6" x14ac:dyDescent="0.3">
      <c r="A32" s="65" t="s">
        <v>451</v>
      </c>
      <c r="B32" s="65" t="s">
        <v>454</v>
      </c>
      <c r="C32" s="65">
        <v>2633</v>
      </c>
      <c r="D32" s="65">
        <v>37</v>
      </c>
      <c r="E32" s="68">
        <v>97421</v>
      </c>
      <c r="F32" s="70">
        <v>45740</v>
      </c>
      <c r="G32" s="69"/>
      <c r="I32"/>
      <c r="L32"/>
    </row>
    <row r="33" spans="1:12" ht="15.6" x14ac:dyDescent="0.3">
      <c r="A33" s="65" t="s">
        <v>450</v>
      </c>
      <c r="B33" s="65" t="s">
        <v>452</v>
      </c>
      <c r="C33" s="65">
        <v>2909</v>
      </c>
      <c r="D33" s="65">
        <v>46</v>
      </c>
      <c r="E33" s="68">
        <v>133814</v>
      </c>
      <c r="F33" s="70">
        <v>45503</v>
      </c>
      <c r="G33" s="69"/>
      <c r="I33"/>
      <c r="L33"/>
    </row>
    <row r="34" spans="1:12" ht="15.6" x14ac:dyDescent="0.3">
      <c r="A34" s="65" t="s">
        <v>176</v>
      </c>
      <c r="B34" s="65" t="s">
        <v>63</v>
      </c>
      <c r="C34" s="65">
        <v>2888</v>
      </c>
      <c r="D34" s="65">
        <v>28</v>
      </c>
      <c r="E34" s="68">
        <v>80864</v>
      </c>
      <c r="F34" s="70">
        <v>45786</v>
      </c>
      <c r="G34" s="69"/>
      <c r="I34"/>
      <c r="L34"/>
    </row>
    <row r="35" spans="1:12" ht="15.6" x14ac:dyDescent="0.3">
      <c r="A35" s="65" t="s">
        <v>453</v>
      </c>
      <c r="B35" s="65" t="s">
        <v>171</v>
      </c>
      <c r="C35" s="65">
        <v>1850</v>
      </c>
      <c r="D35" s="65">
        <v>20</v>
      </c>
      <c r="E35" s="68">
        <v>37000</v>
      </c>
      <c r="F35" s="70">
        <v>45452</v>
      </c>
      <c r="G35" s="69"/>
      <c r="I35"/>
      <c r="L35"/>
    </row>
    <row r="36" spans="1:12" ht="15.6" x14ac:dyDescent="0.3">
      <c r="A36" s="65" t="s">
        <v>179</v>
      </c>
      <c r="B36" s="65" t="s">
        <v>454</v>
      </c>
      <c r="C36" s="65">
        <v>2456</v>
      </c>
      <c r="D36" s="65">
        <v>34</v>
      </c>
      <c r="E36" s="68">
        <v>83504</v>
      </c>
      <c r="F36" s="70">
        <v>45546</v>
      </c>
      <c r="G36" s="69"/>
      <c r="I36"/>
      <c r="L36"/>
    </row>
    <row r="37" spans="1:12" ht="15.6" x14ac:dyDescent="0.3">
      <c r="A37" s="65" t="s">
        <v>176</v>
      </c>
      <c r="B37" s="65" t="s">
        <v>61</v>
      </c>
      <c r="C37" s="65">
        <v>264</v>
      </c>
      <c r="D37" s="65">
        <v>18</v>
      </c>
      <c r="E37" s="68">
        <v>4752</v>
      </c>
      <c r="F37" s="70">
        <v>45769</v>
      </c>
      <c r="G37" s="69"/>
      <c r="I37"/>
      <c r="L37"/>
    </row>
    <row r="38" spans="1:12" ht="15.6" x14ac:dyDescent="0.3">
      <c r="A38" s="65" t="s">
        <v>453</v>
      </c>
      <c r="B38" s="65" t="s">
        <v>452</v>
      </c>
      <c r="C38" s="65">
        <v>943</v>
      </c>
      <c r="D38" s="65">
        <v>50</v>
      </c>
      <c r="E38" s="68">
        <v>47150</v>
      </c>
      <c r="F38" s="70">
        <v>45487</v>
      </c>
      <c r="G38" s="69"/>
      <c r="I38"/>
      <c r="L38"/>
    </row>
    <row r="39" spans="1:12" ht="15.6" x14ac:dyDescent="0.3">
      <c r="A39" s="65" t="s">
        <v>446</v>
      </c>
      <c r="B39" s="65" t="s">
        <v>61</v>
      </c>
      <c r="C39" s="65">
        <v>1124</v>
      </c>
      <c r="D39" s="65">
        <v>19</v>
      </c>
      <c r="E39" s="68">
        <v>21356</v>
      </c>
      <c r="F39" s="70">
        <v>45740</v>
      </c>
      <c r="G39" s="69"/>
      <c r="I39"/>
      <c r="L39"/>
    </row>
    <row r="40" spans="1:12" ht="15.6" x14ac:dyDescent="0.3">
      <c r="A40" s="65" t="s">
        <v>451</v>
      </c>
      <c r="B40" s="65" t="s">
        <v>448</v>
      </c>
      <c r="C40" s="65">
        <v>2594</v>
      </c>
      <c r="D40" s="65">
        <v>14</v>
      </c>
      <c r="E40" s="68">
        <v>36316</v>
      </c>
      <c r="F40" s="70">
        <v>45753</v>
      </c>
      <c r="G40" s="69"/>
      <c r="I40"/>
      <c r="L40"/>
    </row>
    <row r="41" spans="1:12" ht="15.6" x14ac:dyDescent="0.3">
      <c r="A41" s="65" t="s">
        <v>446</v>
      </c>
      <c r="B41" s="65" t="s">
        <v>452</v>
      </c>
      <c r="C41" s="65">
        <v>2705</v>
      </c>
      <c r="D41" s="65">
        <v>46</v>
      </c>
      <c r="E41" s="68">
        <v>124430</v>
      </c>
      <c r="F41" s="70">
        <v>45780</v>
      </c>
      <c r="G41" s="69"/>
      <c r="I41"/>
      <c r="L41"/>
    </row>
    <row r="42" spans="1:12" ht="15.6" x14ac:dyDescent="0.3">
      <c r="A42" s="65" t="s">
        <v>169</v>
      </c>
      <c r="B42" s="65" t="s">
        <v>448</v>
      </c>
      <c r="C42" s="65">
        <v>1045</v>
      </c>
      <c r="D42" s="65">
        <v>28</v>
      </c>
      <c r="E42" s="68">
        <v>29260</v>
      </c>
      <c r="F42" s="70">
        <v>45522</v>
      </c>
      <c r="G42" s="69"/>
      <c r="I42"/>
      <c r="L42"/>
    </row>
    <row r="43" spans="1:12" ht="15.6" x14ac:dyDescent="0.3">
      <c r="A43" s="65" t="s">
        <v>169</v>
      </c>
      <c r="B43" s="65" t="s">
        <v>454</v>
      </c>
      <c r="C43" s="65">
        <v>1043</v>
      </c>
      <c r="D43" s="65">
        <v>34</v>
      </c>
      <c r="E43" s="68">
        <v>35462</v>
      </c>
      <c r="F43" s="70">
        <v>45778</v>
      </c>
      <c r="G43" s="69"/>
      <c r="I43"/>
      <c r="L43"/>
    </row>
    <row r="44" spans="1:12" ht="15.6" x14ac:dyDescent="0.3">
      <c r="A44" s="65" t="s">
        <v>453</v>
      </c>
      <c r="B44" s="65" t="s">
        <v>61</v>
      </c>
      <c r="C44" s="65">
        <v>1377</v>
      </c>
      <c r="D44" s="65">
        <v>35</v>
      </c>
      <c r="E44" s="68">
        <v>48195</v>
      </c>
      <c r="F44" s="70">
        <v>45573</v>
      </c>
      <c r="G44" s="69"/>
      <c r="I44"/>
      <c r="L44"/>
    </row>
    <row r="45" spans="1:12" ht="15.6" x14ac:dyDescent="0.3">
      <c r="A45" s="65" t="s">
        <v>453</v>
      </c>
      <c r="B45" s="65" t="s">
        <v>61</v>
      </c>
      <c r="C45" s="65">
        <v>2199</v>
      </c>
      <c r="D45" s="65">
        <v>11</v>
      </c>
      <c r="E45" s="68">
        <v>24189</v>
      </c>
      <c r="F45" s="70">
        <v>45616</v>
      </c>
      <c r="G45" s="69"/>
      <c r="I45"/>
      <c r="L45"/>
    </row>
    <row r="46" spans="1:12" ht="15.6" x14ac:dyDescent="0.3">
      <c r="A46" s="65" t="s">
        <v>450</v>
      </c>
      <c r="B46" s="65" t="s">
        <v>171</v>
      </c>
      <c r="C46" s="65">
        <v>1220</v>
      </c>
      <c r="D46" s="65">
        <v>23</v>
      </c>
      <c r="E46" s="68">
        <v>28060</v>
      </c>
      <c r="F46" s="70">
        <v>45726</v>
      </c>
      <c r="G46" s="69"/>
      <c r="I46"/>
      <c r="L46"/>
    </row>
    <row r="47" spans="1:12" ht="15.6" x14ac:dyDescent="0.3">
      <c r="A47" s="65" t="s">
        <v>179</v>
      </c>
      <c r="B47" s="65" t="s">
        <v>452</v>
      </c>
      <c r="C47" s="65">
        <v>627</v>
      </c>
      <c r="D47" s="65">
        <v>49</v>
      </c>
      <c r="E47" s="68">
        <v>30723</v>
      </c>
      <c r="F47" s="70">
        <v>45454</v>
      </c>
      <c r="G47" s="69"/>
      <c r="I47"/>
      <c r="L47"/>
    </row>
    <row r="48" spans="1:12" ht="15.6" x14ac:dyDescent="0.3">
      <c r="A48" s="65" t="s">
        <v>451</v>
      </c>
      <c r="B48" s="65" t="s">
        <v>445</v>
      </c>
      <c r="C48" s="65">
        <v>1275</v>
      </c>
      <c r="D48" s="65">
        <v>7</v>
      </c>
      <c r="E48" s="68">
        <v>8925</v>
      </c>
      <c r="F48" s="70">
        <v>45551</v>
      </c>
      <c r="G48" s="69"/>
      <c r="I48"/>
      <c r="L48"/>
    </row>
    <row r="49" spans="1:12" ht="15.6" x14ac:dyDescent="0.3">
      <c r="A49" s="65" t="s">
        <v>446</v>
      </c>
      <c r="B49" s="65" t="s">
        <v>448</v>
      </c>
      <c r="C49" s="65">
        <v>1385</v>
      </c>
      <c r="D49" s="65">
        <v>28</v>
      </c>
      <c r="E49" s="68">
        <v>38780</v>
      </c>
      <c r="F49" s="70">
        <v>45773</v>
      </c>
      <c r="G49" s="69"/>
      <c r="I49"/>
      <c r="L49"/>
    </row>
    <row r="50" spans="1:12" ht="15.6" x14ac:dyDescent="0.3">
      <c r="A50" s="65" t="s">
        <v>451</v>
      </c>
      <c r="B50" s="65" t="s">
        <v>61</v>
      </c>
      <c r="C50" s="65">
        <v>771</v>
      </c>
      <c r="D50" s="65">
        <v>7</v>
      </c>
      <c r="E50" s="68">
        <v>5397</v>
      </c>
      <c r="F50" s="70">
        <v>45482</v>
      </c>
      <c r="G50" s="69"/>
      <c r="I50"/>
      <c r="L50"/>
    </row>
    <row r="51" spans="1:12" ht="15.6" x14ac:dyDescent="0.3">
      <c r="A51" s="65" t="s">
        <v>447</v>
      </c>
      <c r="B51" s="65" t="s">
        <v>61</v>
      </c>
      <c r="C51" s="65">
        <v>506</v>
      </c>
      <c r="D51" s="65">
        <v>7</v>
      </c>
      <c r="E51" s="68">
        <v>3542</v>
      </c>
      <c r="F51" s="70">
        <v>45700</v>
      </c>
      <c r="G51" s="69"/>
      <c r="I51"/>
      <c r="L51"/>
    </row>
    <row r="52" spans="1:12" ht="15.6" x14ac:dyDescent="0.3">
      <c r="A52" s="65" t="s">
        <v>453</v>
      </c>
      <c r="B52" s="65" t="s">
        <v>61</v>
      </c>
      <c r="C52" s="65">
        <v>2344</v>
      </c>
      <c r="D52" s="65">
        <v>8</v>
      </c>
      <c r="E52" s="68">
        <v>18752</v>
      </c>
      <c r="F52" s="70">
        <v>45696</v>
      </c>
      <c r="G52" s="69"/>
      <c r="I52"/>
      <c r="L52"/>
    </row>
    <row r="53" spans="1:12" ht="15.6" x14ac:dyDescent="0.3">
      <c r="A53" s="65" t="s">
        <v>169</v>
      </c>
      <c r="B53" s="65" t="s">
        <v>454</v>
      </c>
      <c r="C53" s="65">
        <v>2239</v>
      </c>
      <c r="D53" s="65">
        <v>50</v>
      </c>
      <c r="E53" s="68">
        <v>111950</v>
      </c>
      <c r="F53" s="70">
        <v>45480</v>
      </c>
      <c r="G53" s="69"/>
      <c r="I53"/>
      <c r="L53"/>
    </row>
    <row r="54" spans="1:12" ht="15.6" x14ac:dyDescent="0.3">
      <c r="A54" s="65" t="s">
        <v>447</v>
      </c>
      <c r="B54" s="65" t="s">
        <v>445</v>
      </c>
      <c r="C54" s="65">
        <v>1010</v>
      </c>
      <c r="D54" s="65">
        <v>30</v>
      </c>
      <c r="E54" s="68">
        <v>30300</v>
      </c>
      <c r="F54" s="70">
        <v>45796</v>
      </c>
      <c r="G54" s="69"/>
      <c r="I54"/>
      <c r="L54"/>
    </row>
    <row r="55" spans="1:12" ht="15.6" x14ac:dyDescent="0.3">
      <c r="A55" s="65" t="s">
        <v>453</v>
      </c>
      <c r="B55" s="65" t="s">
        <v>445</v>
      </c>
      <c r="C55" s="65">
        <v>1973</v>
      </c>
      <c r="D55" s="65">
        <v>42</v>
      </c>
      <c r="E55" s="68">
        <v>82866</v>
      </c>
      <c r="F55" s="70">
        <v>45601</v>
      </c>
      <c r="G55" s="69"/>
      <c r="I55"/>
      <c r="L55"/>
    </row>
    <row r="56" spans="1:12" ht="15.6" x14ac:dyDescent="0.3">
      <c r="A56" s="65" t="s">
        <v>451</v>
      </c>
      <c r="B56" s="65" t="s">
        <v>63</v>
      </c>
      <c r="C56" s="65">
        <v>1624</v>
      </c>
      <c r="D56" s="65">
        <v>42</v>
      </c>
      <c r="E56" s="68">
        <v>68208</v>
      </c>
      <c r="F56" s="70">
        <v>45678</v>
      </c>
      <c r="G56" s="69"/>
      <c r="I56"/>
      <c r="L56"/>
    </row>
    <row r="57" spans="1:12" ht="15.6" x14ac:dyDescent="0.3">
      <c r="A57" s="65" t="s">
        <v>447</v>
      </c>
      <c r="B57" s="65" t="s">
        <v>63</v>
      </c>
      <c r="C57" s="65">
        <v>1088</v>
      </c>
      <c r="D57" s="65">
        <v>35</v>
      </c>
      <c r="E57" s="68">
        <v>38080</v>
      </c>
      <c r="F57" s="70">
        <v>45592</v>
      </c>
      <c r="G57" s="69"/>
      <c r="I57"/>
      <c r="L57"/>
    </row>
    <row r="58" spans="1:12" ht="15.6" x14ac:dyDescent="0.3">
      <c r="A58" s="65" t="s">
        <v>449</v>
      </c>
      <c r="B58" s="65" t="s">
        <v>454</v>
      </c>
      <c r="C58" s="65">
        <v>1440</v>
      </c>
      <c r="D58" s="65">
        <v>8</v>
      </c>
      <c r="E58" s="68">
        <v>11520</v>
      </c>
      <c r="F58" s="70">
        <v>45704</v>
      </c>
      <c r="G58" s="69"/>
      <c r="I58"/>
      <c r="L58"/>
    </row>
    <row r="59" spans="1:12" ht="15.6" x14ac:dyDescent="0.3">
      <c r="A59" s="65" t="s">
        <v>453</v>
      </c>
      <c r="B59" s="65" t="s">
        <v>171</v>
      </c>
      <c r="C59" s="65">
        <v>979</v>
      </c>
      <c r="D59" s="65">
        <v>37</v>
      </c>
      <c r="E59" s="68">
        <v>36223</v>
      </c>
      <c r="F59" s="70">
        <v>45621</v>
      </c>
      <c r="G59" s="69"/>
      <c r="I59"/>
      <c r="L59"/>
    </row>
    <row r="60" spans="1:12" ht="15.6" x14ac:dyDescent="0.3">
      <c r="A60" s="65" t="s">
        <v>451</v>
      </c>
      <c r="B60" s="65" t="s">
        <v>454</v>
      </c>
      <c r="C60" s="65">
        <v>2675</v>
      </c>
      <c r="D60" s="65">
        <v>18</v>
      </c>
      <c r="E60" s="68">
        <v>48150</v>
      </c>
      <c r="F60" s="70">
        <v>45577</v>
      </c>
      <c r="G60" s="69"/>
      <c r="I60"/>
      <c r="L60"/>
    </row>
    <row r="61" spans="1:12" ht="15.6" x14ac:dyDescent="0.3">
      <c r="A61" s="65" t="s">
        <v>169</v>
      </c>
      <c r="B61" s="65" t="s">
        <v>63</v>
      </c>
      <c r="C61" s="65">
        <v>248</v>
      </c>
      <c r="D61" s="65">
        <v>13</v>
      </c>
      <c r="E61" s="68">
        <v>3224</v>
      </c>
      <c r="F61" s="70">
        <v>45558</v>
      </c>
      <c r="G61" s="69"/>
      <c r="I61"/>
      <c r="L61"/>
    </row>
    <row r="62" spans="1:12" ht="15.6" x14ac:dyDescent="0.3">
      <c r="A62" s="65" t="s">
        <v>169</v>
      </c>
      <c r="B62" s="65" t="s">
        <v>63</v>
      </c>
      <c r="C62" s="65">
        <v>2693</v>
      </c>
      <c r="D62" s="65">
        <v>8</v>
      </c>
      <c r="E62" s="68">
        <v>21544</v>
      </c>
      <c r="F62" s="70">
        <v>45568</v>
      </c>
      <c r="G62" s="69"/>
      <c r="I62"/>
      <c r="L62"/>
    </row>
    <row r="63" spans="1:12" ht="15.6" x14ac:dyDescent="0.3">
      <c r="A63" s="65" t="s">
        <v>176</v>
      </c>
      <c r="B63" s="65" t="s">
        <v>171</v>
      </c>
      <c r="C63" s="65">
        <v>251</v>
      </c>
      <c r="D63" s="65">
        <v>11</v>
      </c>
      <c r="E63" s="68">
        <v>2761</v>
      </c>
      <c r="F63" s="70">
        <v>45767</v>
      </c>
      <c r="G63" s="69"/>
      <c r="I63"/>
      <c r="L63"/>
    </row>
    <row r="64" spans="1:12" ht="15.6" x14ac:dyDescent="0.3">
      <c r="A64" s="65" t="s">
        <v>176</v>
      </c>
      <c r="B64" s="65" t="s">
        <v>171</v>
      </c>
      <c r="C64" s="65">
        <v>1913</v>
      </c>
      <c r="D64" s="65">
        <v>37</v>
      </c>
      <c r="E64" s="68">
        <v>70781</v>
      </c>
      <c r="F64" s="70">
        <v>45795</v>
      </c>
      <c r="G64" s="69"/>
      <c r="I64"/>
      <c r="L64"/>
    </row>
    <row r="65" spans="1:12" ht="15.6" x14ac:dyDescent="0.3">
      <c r="A65" s="65" t="s">
        <v>169</v>
      </c>
      <c r="B65" s="65" t="s">
        <v>452</v>
      </c>
      <c r="C65" s="65">
        <v>1533</v>
      </c>
      <c r="D65" s="65">
        <v>32</v>
      </c>
      <c r="E65" s="68">
        <v>49056</v>
      </c>
      <c r="F65" s="70">
        <v>45786</v>
      </c>
      <c r="G65" s="69"/>
      <c r="I65"/>
      <c r="L65"/>
    </row>
    <row r="66" spans="1:12" ht="15.6" x14ac:dyDescent="0.3">
      <c r="A66" s="65" t="s">
        <v>447</v>
      </c>
      <c r="B66" s="65" t="s">
        <v>452</v>
      </c>
      <c r="C66" s="65">
        <v>1438</v>
      </c>
      <c r="D66" s="65">
        <v>48</v>
      </c>
      <c r="E66" s="68">
        <v>69024</v>
      </c>
      <c r="F66" s="70">
        <v>45488</v>
      </c>
      <c r="G66" s="69"/>
      <c r="I66"/>
      <c r="L66"/>
    </row>
    <row r="67" spans="1:12" ht="15.6" x14ac:dyDescent="0.3">
      <c r="A67" s="65" t="s">
        <v>176</v>
      </c>
      <c r="B67" s="65" t="s">
        <v>448</v>
      </c>
      <c r="C67" s="65">
        <v>1344</v>
      </c>
      <c r="D67" s="65">
        <v>15</v>
      </c>
      <c r="E67" s="68">
        <v>20160</v>
      </c>
      <c r="F67" s="70">
        <v>45445</v>
      </c>
      <c r="G67" s="69"/>
      <c r="I67"/>
      <c r="L67"/>
    </row>
    <row r="68" spans="1:12" ht="15.6" x14ac:dyDescent="0.3">
      <c r="A68" s="65" t="s">
        <v>451</v>
      </c>
      <c r="B68" s="65" t="s">
        <v>452</v>
      </c>
      <c r="C68" s="65">
        <v>1279</v>
      </c>
      <c r="D68" s="65">
        <v>1</v>
      </c>
      <c r="E68" s="68">
        <v>1279</v>
      </c>
      <c r="F68" s="70">
        <v>45651</v>
      </c>
      <c r="G68" s="69"/>
      <c r="I68"/>
      <c r="L68"/>
    </row>
    <row r="69" spans="1:12" ht="15.6" x14ac:dyDescent="0.3">
      <c r="A69" s="65" t="s">
        <v>446</v>
      </c>
      <c r="B69" s="65" t="s">
        <v>171</v>
      </c>
      <c r="C69" s="65">
        <v>941</v>
      </c>
      <c r="D69" s="65">
        <v>13</v>
      </c>
      <c r="E69" s="68">
        <v>12233</v>
      </c>
      <c r="F69" s="70">
        <v>45557</v>
      </c>
      <c r="G69" s="69"/>
      <c r="I69"/>
      <c r="L69"/>
    </row>
    <row r="70" spans="1:12" ht="15.6" x14ac:dyDescent="0.3">
      <c r="A70" s="65" t="s">
        <v>450</v>
      </c>
      <c r="B70" s="65" t="s">
        <v>452</v>
      </c>
      <c r="C70" s="65">
        <v>1732</v>
      </c>
      <c r="D70" s="65">
        <v>48</v>
      </c>
      <c r="E70" s="68">
        <v>83136</v>
      </c>
      <c r="F70" s="70">
        <v>45588</v>
      </c>
      <c r="G70" s="69"/>
      <c r="I70"/>
      <c r="L70"/>
    </row>
    <row r="71" spans="1:12" ht="15.6" x14ac:dyDescent="0.3">
      <c r="A71" s="65" t="s">
        <v>453</v>
      </c>
      <c r="B71" s="65" t="s">
        <v>448</v>
      </c>
      <c r="C71" s="65">
        <v>2914</v>
      </c>
      <c r="D71" s="65">
        <v>14</v>
      </c>
      <c r="E71" s="68">
        <v>40796</v>
      </c>
      <c r="F71" s="70">
        <v>45558</v>
      </c>
      <c r="G71" s="69"/>
      <c r="I71"/>
      <c r="L71"/>
    </row>
    <row r="72" spans="1:12" ht="15.6" x14ac:dyDescent="0.3">
      <c r="A72" s="65" t="s">
        <v>176</v>
      </c>
      <c r="B72" s="65" t="s">
        <v>63</v>
      </c>
      <c r="C72" s="65">
        <v>2632</v>
      </c>
      <c r="D72" s="65">
        <v>38</v>
      </c>
      <c r="E72" s="68">
        <v>100016</v>
      </c>
      <c r="F72" s="70">
        <v>45542</v>
      </c>
      <c r="G72" s="69"/>
      <c r="I72"/>
      <c r="L72"/>
    </row>
    <row r="73" spans="1:12" ht="15.6" x14ac:dyDescent="0.3">
      <c r="A73" s="65" t="s">
        <v>453</v>
      </c>
      <c r="B73" s="65" t="s">
        <v>452</v>
      </c>
      <c r="C73" s="65">
        <v>2142</v>
      </c>
      <c r="D73" s="65">
        <v>15</v>
      </c>
      <c r="E73" s="68">
        <v>32130</v>
      </c>
      <c r="F73" s="70">
        <v>45760</v>
      </c>
      <c r="G73" s="69"/>
      <c r="I73"/>
      <c r="L73"/>
    </row>
    <row r="74" spans="1:12" ht="15.6" x14ac:dyDescent="0.3">
      <c r="A74" s="65" t="s">
        <v>449</v>
      </c>
      <c r="B74" s="65" t="s">
        <v>63</v>
      </c>
      <c r="C74" s="65">
        <v>2383</v>
      </c>
      <c r="D74" s="65">
        <v>29</v>
      </c>
      <c r="E74" s="68">
        <v>69107</v>
      </c>
      <c r="F74" s="70">
        <v>45662</v>
      </c>
      <c r="G74" s="69"/>
      <c r="I74"/>
      <c r="L74"/>
    </row>
    <row r="75" spans="1:12" ht="15.6" x14ac:dyDescent="0.3">
      <c r="A75" s="65" t="s">
        <v>179</v>
      </c>
      <c r="B75" s="65" t="s">
        <v>448</v>
      </c>
      <c r="C75" s="65">
        <v>1602</v>
      </c>
      <c r="D75" s="65">
        <v>1</v>
      </c>
      <c r="E75" s="68">
        <v>1602</v>
      </c>
      <c r="F75" s="70">
        <v>45493</v>
      </c>
      <c r="G75" s="69"/>
      <c r="I75"/>
      <c r="L75"/>
    </row>
    <row r="76" spans="1:12" ht="15.6" x14ac:dyDescent="0.3">
      <c r="A76" s="65" t="s">
        <v>179</v>
      </c>
      <c r="B76" s="65" t="s">
        <v>454</v>
      </c>
      <c r="C76" s="65">
        <v>664</v>
      </c>
      <c r="D76" s="65">
        <v>47</v>
      </c>
      <c r="E76" s="68">
        <v>31208</v>
      </c>
      <c r="F76" s="70">
        <v>45476</v>
      </c>
      <c r="G76" s="69"/>
      <c r="I76"/>
      <c r="L76"/>
    </row>
    <row r="77" spans="1:12" ht="15.6" x14ac:dyDescent="0.3">
      <c r="A77" s="65" t="s">
        <v>449</v>
      </c>
      <c r="B77" s="65" t="s">
        <v>445</v>
      </c>
      <c r="C77" s="65">
        <v>2525</v>
      </c>
      <c r="D77" s="65">
        <v>1</v>
      </c>
      <c r="E77" s="68">
        <v>2525</v>
      </c>
      <c r="F77" s="70">
        <v>45732</v>
      </c>
      <c r="G77" s="69"/>
      <c r="I77"/>
      <c r="L77"/>
    </row>
    <row r="78" spans="1:12" ht="15.6" x14ac:dyDescent="0.3">
      <c r="A78" s="65" t="s">
        <v>450</v>
      </c>
      <c r="B78" s="65" t="s">
        <v>448</v>
      </c>
      <c r="C78" s="65">
        <v>1127</v>
      </c>
      <c r="D78" s="65">
        <v>6</v>
      </c>
      <c r="E78" s="68">
        <v>6762</v>
      </c>
      <c r="F78" s="70">
        <v>45569</v>
      </c>
      <c r="G78" s="69"/>
      <c r="I78"/>
      <c r="L78"/>
    </row>
    <row r="79" spans="1:12" ht="15.6" x14ac:dyDescent="0.3">
      <c r="A79" s="65" t="s">
        <v>447</v>
      </c>
      <c r="B79" s="65" t="s">
        <v>63</v>
      </c>
      <c r="C79" s="65">
        <v>2980</v>
      </c>
      <c r="D79" s="65">
        <v>35</v>
      </c>
      <c r="E79" s="68">
        <v>104300</v>
      </c>
      <c r="F79" s="70">
        <v>45450</v>
      </c>
      <c r="G79" s="69"/>
      <c r="I79"/>
      <c r="L79"/>
    </row>
    <row r="80" spans="1:12" ht="15.6" x14ac:dyDescent="0.3">
      <c r="A80" s="65" t="s">
        <v>450</v>
      </c>
      <c r="B80" s="65" t="s">
        <v>171</v>
      </c>
      <c r="C80" s="65">
        <v>1737</v>
      </c>
      <c r="D80" s="65">
        <v>39</v>
      </c>
      <c r="E80" s="68">
        <v>67743</v>
      </c>
      <c r="F80" s="70">
        <v>45529</v>
      </c>
      <c r="G80" s="69"/>
      <c r="I80"/>
      <c r="L80"/>
    </row>
    <row r="81" spans="1:12" ht="15.6" x14ac:dyDescent="0.3">
      <c r="A81" s="65" t="s">
        <v>453</v>
      </c>
      <c r="B81" s="65" t="s">
        <v>61</v>
      </c>
      <c r="C81" s="65">
        <v>227</v>
      </c>
      <c r="D81" s="65">
        <v>2</v>
      </c>
      <c r="E81" s="68">
        <v>454</v>
      </c>
      <c r="F81" s="70">
        <v>45576</v>
      </c>
      <c r="G81" s="69"/>
      <c r="I81"/>
      <c r="L81"/>
    </row>
    <row r="82" spans="1:12" ht="15.6" x14ac:dyDescent="0.3">
      <c r="A82" s="65" t="s">
        <v>179</v>
      </c>
      <c r="B82" s="65" t="s">
        <v>61</v>
      </c>
      <c r="C82" s="65">
        <v>1772</v>
      </c>
      <c r="D82" s="65">
        <v>8</v>
      </c>
      <c r="E82" s="68">
        <v>14176</v>
      </c>
      <c r="F82" s="70">
        <v>45468</v>
      </c>
      <c r="G82" s="69"/>
      <c r="I82"/>
      <c r="L82"/>
    </row>
    <row r="83" spans="1:12" ht="15.6" x14ac:dyDescent="0.3">
      <c r="A83" s="65" t="s">
        <v>447</v>
      </c>
      <c r="B83" s="65" t="s">
        <v>448</v>
      </c>
      <c r="C83" s="65">
        <v>2872</v>
      </c>
      <c r="D83" s="65">
        <v>16</v>
      </c>
      <c r="E83" s="68">
        <v>45952</v>
      </c>
      <c r="F83" s="70">
        <v>45757</v>
      </c>
      <c r="G83" s="69"/>
      <c r="I83"/>
      <c r="L83"/>
    </row>
    <row r="84" spans="1:12" ht="15.6" x14ac:dyDescent="0.3">
      <c r="A84" s="65" t="s">
        <v>169</v>
      </c>
      <c r="B84" s="65" t="s">
        <v>171</v>
      </c>
      <c r="C84" s="65">
        <v>1344</v>
      </c>
      <c r="D84" s="65">
        <v>37</v>
      </c>
      <c r="E84" s="68">
        <v>49728</v>
      </c>
      <c r="F84" s="70">
        <v>45675</v>
      </c>
      <c r="G84" s="69"/>
      <c r="I84"/>
      <c r="L84"/>
    </row>
    <row r="85" spans="1:12" ht="15.6" x14ac:dyDescent="0.3">
      <c r="A85" s="65" t="s">
        <v>170</v>
      </c>
      <c r="B85" s="65" t="s">
        <v>61</v>
      </c>
      <c r="C85" s="65">
        <v>1561</v>
      </c>
      <c r="D85" s="65">
        <v>41</v>
      </c>
      <c r="E85" s="68">
        <v>64001</v>
      </c>
      <c r="F85" s="70">
        <v>45679</v>
      </c>
      <c r="G85" s="69"/>
      <c r="I85"/>
      <c r="L85"/>
    </row>
    <row r="86" spans="1:12" ht="15.6" x14ac:dyDescent="0.3">
      <c r="A86" s="65" t="s">
        <v>450</v>
      </c>
      <c r="B86" s="65" t="s">
        <v>61</v>
      </c>
      <c r="C86" s="65">
        <v>1665</v>
      </c>
      <c r="D86" s="65">
        <v>14</v>
      </c>
      <c r="E86" s="68">
        <v>23310</v>
      </c>
      <c r="F86" s="70">
        <v>45711</v>
      </c>
      <c r="G86" s="69"/>
      <c r="I86"/>
      <c r="L86"/>
    </row>
    <row r="87" spans="1:12" ht="15.6" x14ac:dyDescent="0.3">
      <c r="A87" s="65" t="s">
        <v>447</v>
      </c>
      <c r="B87" s="65" t="s">
        <v>454</v>
      </c>
      <c r="C87" s="65">
        <v>1603</v>
      </c>
      <c r="D87" s="65">
        <v>40</v>
      </c>
      <c r="E87" s="68">
        <v>64120</v>
      </c>
      <c r="F87" s="70">
        <v>45624</v>
      </c>
      <c r="G87" s="69"/>
      <c r="I87"/>
      <c r="L87"/>
    </row>
    <row r="88" spans="1:12" ht="15.6" x14ac:dyDescent="0.3">
      <c r="A88" s="65" t="s">
        <v>451</v>
      </c>
      <c r="B88" s="65" t="s">
        <v>445</v>
      </c>
      <c r="C88" s="65">
        <v>1100</v>
      </c>
      <c r="D88" s="65">
        <v>34</v>
      </c>
      <c r="E88" s="68">
        <v>37400</v>
      </c>
      <c r="F88" s="70">
        <v>45598</v>
      </c>
      <c r="G88" s="69"/>
      <c r="I88"/>
      <c r="L88"/>
    </row>
    <row r="89" spans="1:12" ht="15.6" x14ac:dyDescent="0.3">
      <c r="A89" s="65" t="s">
        <v>447</v>
      </c>
      <c r="B89" s="65" t="s">
        <v>448</v>
      </c>
      <c r="C89" s="65">
        <v>1197</v>
      </c>
      <c r="D89" s="65">
        <v>16</v>
      </c>
      <c r="E89" s="68">
        <v>19152</v>
      </c>
      <c r="F89" s="70">
        <v>45681</v>
      </c>
      <c r="G89" s="69"/>
      <c r="I89"/>
      <c r="L89"/>
    </row>
    <row r="90" spans="1:12" ht="15.6" x14ac:dyDescent="0.3">
      <c r="A90" s="65" t="s">
        <v>447</v>
      </c>
      <c r="B90" s="65" t="s">
        <v>63</v>
      </c>
      <c r="C90" s="65">
        <v>2717</v>
      </c>
      <c r="D90" s="65">
        <v>28</v>
      </c>
      <c r="E90" s="68">
        <v>76076</v>
      </c>
      <c r="F90" s="70">
        <v>45777</v>
      </c>
      <c r="G90" s="69"/>
      <c r="I90"/>
      <c r="L90"/>
    </row>
    <row r="91" spans="1:12" ht="15.6" x14ac:dyDescent="0.3">
      <c r="A91" s="65" t="s">
        <v>451</v>
      </c>
      <c r="B91" s="65" t="s">
        <v>454</v>
      </c>
      <c r="C91" s="65">
        <v>2930</v>
      </c>
      <c r="D91" s="65">
        <v>17</v>
      </c>
      <c r="E91" s="68">
        <v>49810</v>
      </c>
      <c r="F91" s="70">
        <v>45545</v>
      </c>
      <c r="G91" s="69"/>
      <c r="I91"/>
      <c r="L91"/>
    </row>
    <row r="92" spans="1:12" ht="15.6" x14ac:dyDescent="0.3">
      <c r="A92" s="65" t="s">
        <v>451</v>
      </c>
      <c r="B92" s="65" t="s">
        <v>63</v>
      </c>
      <c r="C92" s="65">
        <v>1355</v>
      </c>
      <c r="D92" s="65">
        <v>38</v>
      </c>
      <c r="E92" s="68">
        <v>51490</v>
      </c>
      <c r="F92" s="70">
        <v>45740</v>
      </c>
      <c r="G92" s="69"/>
      <c r="I92"/>
      <c r="L92"/>
    </row>
    <row r="93" spans="1:12" ht="15.6" x14ac:dyDescent="0.3">
      <c r="A93" s="65" t="s">
        <v>176</v>
      </c>
      <c r="B93" s="65" t="s">
        <v>448</v>
      </c>
      <c r="C93" s="65">
        <v>274</v>
      </c>
      <c r="D93" s="65">
        <v>46</v>
      </c>
      <c r="E93" s="68">
        <v>12604</v>
      </c>
      <c r="F93" s="70">
        <v>45474</v>
      </c>
      <c r="G93" s="69"/>
      <c r="I93"/>
      <c r="L93"/>
    </row>
    <row r="94" spans="1:12" ht="15.6" x14ac:dyDescent="0.3">
      <c r="A94" s="65" t="s">
        <v>453</v>
      </c>
      <c r="B94" s="65" t="s">
        <v>448</v>
      </c>
      <c r="C94" s="65">
        <v>1559</v>
      </c>
      <c r="D94" s="65">
        <v>15</v>
      </c>
      <c r="E94" s="68">
        <v>23385</v>
      </c>
      <c r="F94" s="70">
        <v>45642</v>
      </c>
      <c r="G94" s="69"/>
      <c r="I94"/>
      <c r="L94"/>
    </row>
    <row r="95" spans="1:12" ht="15.6" x14ac:dyDescent="0.3">
      <c r="A95" s="65" t="s">
        <v>176</v>
      </c>
      <c r="B95" s="65" t="s">
        <v>448</v>
      </c>
      <c r="C95" s="65">
        <v>2722</v>
      </c>
      <c r="D95" s="65">
        <v>20</v>
      </c>
      <c r="E95" s="68">
        <v>54440</v>
      </c>
      <c r="F95" s="70">
        <v>45564</v>
      </c>
      <c r="G95" s="69"/>
      <c r="I95"/>
      <c r="L95"/>
    </row>
    <row r="96" spans="1:12" ht="15.6" x14ac:dyDescent="0.3">
      <c r="A96" s="65" t="s">
        <v>451</v>
      </c>
      <c r="B96" s="65" t="s">
        <v>448</v>
      </c>
      <c r="C96" s="65">
        <v>2414</v>
      </c>
      <c r="D96" s="65">
        <v>15</v>
      </c>
      <c r="E96" s="68">
        <v>36210</v>
      </c>
      <c r="F96" s="70">
        <v>45675</v>
      </c>
      <c r="G96" s="69"/>
      <c r="I96"/>
      <c r="L96"/>
    </row>
    <row r="97" spans="1:12" ht="15.6" x14ac:dyDescent="0.3">
      <c r="A97" s="65" t="s">
        <v>449</v>
      </c>
      <c r="B97" s="65" t="s">
        <v>445</v>
      </c>
      <c r="C97" s="65">
        <v>2307</v>
      </c>
      <c r="D97" s="65">
        <v>43</v>
      </c>
      <c r="E97" s="68">
        <v>99201</v>
      </c>
      <c r="F97" s="70">
        <v>45606</v>
      </c>
      <c r="G97" s="69"/>
      <c r="I97"/>
      <c r="L97"/>
    </row>
    <row r="98" spans="1:12" ht="15.6" x14ac:dyDescent="0.3">
      <c r="A98" s="65" t="s">
        <v>453</v>
      </c>
      <c r="B98" s="65" t="s">
        <v>454</v>
      </c>
      <c r="C98" s="65">
        <v>556</v>
      </c>
      <c r="D98" s="65">
        <v>21</v>
      </c>
      <c r="E98" s="68">
        <v>11676</v>
      </c>
      <c r="F98" s="70">
        <v>45627</v>
      </c>
      <c r="G98" s="69"/>
      <c r="I98"/>
      <c r="L98"/>
    </row>
    <row r="99" spans="1:12" ht="15.6" x14ac:dyDescent="0.3">
      <c r="A99" s="65" t="s">
        <v>176</v>
      </c>
      <c r="B99" s="65" t="s">
        <v>63</v>
      </c>
      <c r="C99" s="65">
        <v>2097</v>
      </c>
      <c r="D99" s="65">
        <v>13</v>
      </c>
      <c r="E99" s="68">
        <v>27261</v>
      </c>
      <c r="F99" s="70">
        <v>45532</v>
      </c>
      <c r="G99" s="69"/>
      <c r="I99"/>
      <c r="L99"/>
    </row>
    <row r="100" spans="1:12" ht="15.6" x14ac:dyDescent="0.3">
      <c r="A100" s="65" t="s">
        <v>453</v>
      </c>
      <c r="B100" s="65" t="s">
        <v>63</v>
      </c>
      <c r="C100" s="65">
        <v>412</v>
      </c>
      <c r="D100" s="65">
        <v>34</v>
      </c>
      <c r="E100" s="68">
        <v>14008</v>
      </c>
      <c r="F100" s="70">
        <v>45627</v>
      </c>
      <c r="G100" s="69"/>
      <c r="I100"/>
      <c r="L100"/>
    </row>
    <row r="101" spans="1:12" ht="15.6" x14ac:dyDescent="0.3">
      <c r="A101" s="65" t="s">
        <v>446</v>
      </c>
      <c r="B101" s="65" t="s">
        <v>452</v>
      </c>
      <c r="C101" s="65">
        <v>2940</v>
      </c>
      <c r="D101" s="65">
        <v>20</v>
      </c>
      <c r="E101" s="68">
        <v>58800</v>
      </c>
      <c r="F101" s="70">
        <v>45447</v>
      </c>
      <c r="G101" s="69"/>
      <c r="I101"/>
      <c r="L101"/>
    </row>
    <row r="102" spans="1:12" ht="15.6" x14ac:dyDescent="0.3">
      <c r="A102" s="65" t="s">
        <v>446</v>
      </c>
      <c r="B102" s="65" t="s">
        <v>63</v>
      </c>
      <c r="C102" s="65">
        <v>1414</v>
      </c>
      <c r="D102" s="65">
        <v>50</v>
      </c>
      <c r="E102" s="68">
        <v>70700</v>
      </c>
      <c r="F102" s="70">
        <v>45489</v>
      </c>
      <c r="G102" s="69"/>
      <c r="I102"/>
      <c r="L102"/>
    </row>
    <row r="103" spans="1:12" ht="15.6" x14ac:dyDescent="0.3">
      <c r="A103" s="65" t="s">
        <v>449</v>
      </c>
      <c r="B103" s="65" t="s">
        <v>452</v>
      </c>
      <c r="C103" s="65">
        <v>448</v>
      </c>
      <c r="D103" s="65">
        <v>49</v>
      </c>
      <c r="E103" s="68">
        <v>21952</v>
      </c>
      <c r="F103" s="70">
        <v>45519</v>
      </c>
      <c r="G103" s="69"/>
      <c r="I103"/>
      <c r="L103"/>
    </row>
    <row r="104" spans="1:12" ht="15.6" x14ac:dyDescent="0.3">
      <c r="A104" s="65" t="s">
        <v>170</v>
      </c>
      <c r="B104" s="65" t="s">
        <v>445</v>
      </c>
      <c r="C104" s="65">
        <v>1129</v>
      </c>
      <c r="D104" s="65">
        <v>47</v>
      </c>
      <c r="E104" s="68">
        <v>53063</v>
      </c>
      <c r="F104" s="70">
        <v>45808</v>
      </c>
      <c r="G104" s="69"/>
      <c r="I104"/>
      <c r="L104"/>
    </row>
    <row r="105" spans="1:12" ht="15.6" x14ac:dyDescent="0.3">
      <c r="A105" s="65" t="s">
        <v>169</v>
      </c>
      <c r="B105" s="65" t="s">
        <v>448</v>
      </c>
      <c r="C105" s="65">
        <v>2224</v>
      </c>
      <c r="D105" s="65">
        <v>24</v>
      </c>
      <c r="E105" s="68">
        <v>53376</v>
      </c>
      <c r="F105" s="70">
        <v>45545</v>
      </c>
      <c r="G105" s="69"/>
      <c r="I105"/>
      <c r="L105"/>
    </row>
    <row r="106" spans="1:12" ht="15.6" x14ac:dyDescent="0.3">
      <c r="A106" s="65" t="s">
        <v>176</v>
      </c>
      <c r="B106" s="65" t="s">
        <v>454</v>
      </c>
      <c r="C106" s="65">
        <v>2978</v>
      </c>
      <c r="D106" s="65">
        <v>2</v>
      </c>
      <c r="E106" s="68">
        <v>5956</v>
      </c>
      <c r="F106" s="70">
        <v>45496</v>
      </c>
      <c r="G106" s="69"/>
      <c r="I106"/>
      <c r="L106"/>
    </row>
    <row r="107" spans="1:12" ht="15.6" x14ac:dyDescent="0.3">
      <c r="A107" s="65" t="s">
        <v>453</v>
      </c>
      <c r="B107" s="65" t="s">
        <v>61</v>
      </c>
      <c r="C107" s="65">
        <v>1210</v>
      </c>
      <c r="D107" s="65">
        <v>12</v>
      </c>
      <c r="E107" s="68">
        <v>14520</v>
      </c>
      <c r="F107" s="70">
        <v>45752</v>
      </c>
      <c r="G107" s="69"/>
      <c r="I107"/>
      <c r="L107"/>
    </row>
    <row r="108" spans="1:12" ht="15.6" x14ac:dyDescent="0.3">
      <c r="A108" s="65" t="s">
        <v>453</v>
      </c>
      <c r="B108" s="65" t="s">
        <v>171</v>
      </c>
      <c r="C108" s="65">
        <v>2397</v>
      </c>
      <c r="D108" s="65">
        <v>19</v>
      </c>
      <c r="E108" s="68">
        <v>45543</v>
      </c>
      <c r="F108" s="70">
        <v>45549</v>
      </c>
      <c r="G108" s="69"/>
      <c r="I108"/>
      <c r="L108"/>
    </row>
    <row r="109" spans="1:12" ht="15.6" x14ac:dyDescent="0.3">
      <c r="A109" s="65" t="s">
        <v>447</v>
      </c>
      <c r="B109" s="65" t="s">
        <v>63</v>
      </c>
      <c r="C109" s="65">
        <v>747</v>
      </c>
      <c r="D109" s="65">
        <v>10</v>
      </c>
      <c r="E109" s="68">
        <v>7470</v>
      </c>
      <c r="F109" s="70">
        <v>45670</v>
      </c>
      <c r="G109" s="69"/>
      <c r="I109"/>
      <c r="L109"/>
    </row>
    <row r="110" spans="1:12" ht="15.6" x14ac:dyDescent="0.3">
      <c r="A110" s="65" t="s">
        <v>169</v>
      </c>
      <c r="B110" s="65" t="s">
        <v>63</v>
      </c>
      <c r="C110" s="65">
        <v>823</v>
      </c>
      <c r="D110" s="65">
        <v>6</v>
      </c>
      <c r="E110" s="68">
        <v>4938</v>
      </c>
      <c r="F110" s="70">
        <v>45790</v>
      </c>
      <c r="G110" s="69"/>
      <c r="I110"/>
      <c r="L110"/>
    </row>
    <row r="111" spans="1:12" ht="15.6" x14ac:dyDescent="0.3">
      <c r="A111" s="65" t="s">
        <v>179</v>
      </c>
      <c r="B111" s="65" t="s">
        <v>61</v>
      </c>
      <c r="C111" s="65">
        <v>2081</v>
      </c>
      <c r="D111" s="65">
        <v>20</v>
      </c>
      <c r="E111" s="68">
        <v>41620</v>
      </c>
      <c r="F111" s="70">
        <v>45778</v>
      </c>
      <c r="G111" s="69"/>
      <c r="I111"/>
      <c r="L111"/>
    </row>
    <row r="112" spans="1:12" ht="15.6" x14ac:dyDescent="0.3">
      <c r="A112" s="65" t="s">
        <v>453</v>
      </c>
      <c r="B112" s="65" t="s">
        <v>448</v>
      </c>
      <c r="C112" s="65">
        <v>2824</v>
      </c>
      <c r="D112" s="65">
        <v>32</v>
      </c>
      <c r="E112" s="68">
        <v>90368</v>
      </c>
      <c r="F112" s="70">
        <v>45624</v>
      </c>
      <c r="G112" s="69"/>
      <c r="I112"/>
      <c r="L112"/>
    </row>
    <row r="113" spans="1:12" ht="15.6" x14ac:dyDescent="0.3">
      <c r="A113" s="65" t="s">
        <v>453</v>
      </c>
      <c r="B113" s="65" t="s">
        <v>61</v>
      </c>
      <c r="C113" s="65">
        <v>871</v>
      </c>
      <c r="D113" s="65">
        <v>15</v>
      </c>
      <c r="E113" s="68">
        <v>13065</v>
      </c>
      <c r="F113" s="70">
        <v>45606</v>
      </c>
      <c r="G113" s="69"/>
      <c r="I113"/>
      <c r="L113"/>
    </row>
    <row r="114" spans="1:12" ht="15.6" x14ac:dyDescent="0.3">
      <c r="A114" s="65" t="s">
        <v>449</v>
      </c>
      <c r="B114" s="65" t="s">
        <v>171</v>
      </c>
      <c r="C114" s="65">
        <v>2180</v>
      </c>
      <c r="D114" s="65">
        <v>48</v>
      </c>
      <c r="E114" s="68">
        <v>104640</v>
      </c>
      <c r="F114" s="70">
        <v>45539</v>
      </c>
      <c r="G114" s="69"/>
      <c r="I114"/>
      <c r="L114"/>
    </row>
    <row r="115" spans="1:12" ht="15.6" x14ac:dyDescent="0.3">
      <c r="A115" s="65" t="s">
        <v>169</v>
      </c>
      <c r="B115" s="65" t="s">
        <v>452</v>
      </c>
      <c r="C115" s="65">
        <v>1038</v>
      </c>
      <c r="D115" s="65">
        <v>50</v>
      </c>
      <c r="E115" s="68">
        <v>51900</v>
      </c>
      <c r="F115" s="70">
        <v>45746</v>
      </c>
      <c r="G115" s="69"/>
      <c r="I115"/>
      <c r="L115"/>
    </row>
    <row r="116" spans="1:12" ht="15.6" x14ac:dyDescent="0.3">
      <c r="A116" s="65" t="s">
        <v>179</v>
      </c>
      <c r="B116" s="65" t="s">
        <v>452</v>
      </c>
      <c r="C116" s="65">
        <v>1104</v>
      </c>
      <c r="D116" s="65">
        <v>5</v>
      </c>
      <c r="E116" s="68">
        <v>5520</v>
      </c>
      <c r="F116" s="70">
        <v>45730</v>
      </c>
      <c r="G116" s="69"/>
      <c r="I116"/>
      <c r="L116"/>
    </row>
    <row r="117" spans="1:12" ht="15.6" x14ac:dyDescent="0.3">
      <c r="A117" s="65" t="s">
        <v>170</v>
      </c>
      <c r="B117" s="65" t="s">
        <v>61</v>
      </c>
      <c r="C117" s="65">
        <v>2927</v>
      </c>
      <c r="D117" s="65">
        <v>10</v>
      </c>
      <c r="E117" s="68">
        <v>29270</v>
      </c>
      <c r="F117" s="70">
        <v>45565</v>
      </c>
      <c r="G117" s="69"/>
      <c r="I117"/>
      <c r="L117"/>
    </row>
    <row r="118" spans="1:12" ht="15.6" x14ac:dyDescent="0.3">
      <c r="A118" s="65" t="s">
        <v>447</v>
      </c>
      <c r="B118" s="65" t="s">
        <v>445</v>
      </c>
      <c r="C118" s="65">
        <v>1959</v>
      </c>
      <c r="D118" s="65">
        <v>42</v>
      </c>
      <c r="E118" s="68">
        <v>82278</v>
      </c>
      <c r="F118" s="70">
        <v>45717</v>
      </c>
      <c r="G118" s="69"/>
      <c r="I118"/>
      <c r="L118"/>
    </row>
    <row r="119" spans="1:12" ht="15.6" x14ac:dyDescent="0.3">
      <c r="A119" s="65" t="s">
        <v>450</v>
      </c>
      <c r="B119" s="65" t="s">
        <v>452</v>
      </c>
      <c r="C119" s="65">
        <v>1667</v>
      </c>
      <c r="D119" s="65">
        <v>24</v>
      </c>
      <c r="E119" s="68">
        <v>40008</v>
      </c>
      <c r="F119" s="70">
        <v>45471</v>
      </c>
      <c r="G119" s="69"/>
      <c r="I119"/>
      <c r="L119"/>
    </row>
    <row r="120" spans="1:12" ht="15.6" x14ac:dyDescent="0.3">
      <c r="A120" s="65" t="s">
        <v>449</v>
      </c>
      <c r="B120" s="65" t="s">
        <v>63</v>
      </c>
      <c r="C120" s="65">
        <v>2254</v>
      </c>
      <c r="D120" s="65">
        <v>27</v>
      </c>
      <c r="E120" s="68">
        <v>60858</v>
      </c>
      <c r="F120" s="70">
        <v>45463</v>
      </c>
      <c r="G120" s="69"/>
      <c r="I120"/>
      <c r="L120"/>
    </row>
    <row r="121" spans="1:12" ht="15.6" x14ac:dyDescent="0.3">
      <c r="A121" s="65" t="s">
        <v>169</v>
      </c>
      <c r="B121" s="65" t="s">
        <v>171</v>
      </c>
      <c r="C121" s="65">
        <v>691</v>
      </c>
      <c r="D121" s="65">
        <v>44</v>
      </c>
      <c r="E121" s="68">
        <v>30404</v>
      </c>
      <c r="F121" s="70">
        <v>45535</v>
      </c>
      <c r="G121" s="69"/>
      <c r="I121"/>
      <c r="L121"/>
    </row>
    <row r="122" spans="1:12" ht="15.6" x14ac:dyDescent="0.3">
      <c r="A122" s="65" t="s">
        <v>170</v>
      </c>
      <c r="B122" s="65" t="s">
        <v>61</v>
      </c>
      <c r="C122" s="65">
        <v>364</v>
      </c>
      <c r="D122" s="65">
        <v>50</v>
      </c>
      <c r="E122" s="68">
        <v>18200</v>
      </c>
      <c r="F122" s="70">
        <v>45807</v>
      </c>
      <c r="G122" s="69"/>
      <c r="I122"/>
      <c r="L122"/>
    </row>
    <row r="123" spans="1:12" ht="15.6" x14ac:dyDescent="0.3">
      <c r="A123" s="65" t="s">
        <v>449</v>
      </c>
      <c r="B123" s="65" t="s">
        <v>63</v>
      </c>
      <c r="C123" s="65">
        <v>1381</v>
      </c>
      <c r="D123" s="65">
        <v>22</v>
      </c>
      <c r="E123" s="68">
        <v>30382</v>
      </c>
      <c r="F123" s="70">
        <v>45634</v>
      </c>
      <c r="G123" s="69"/>
      <c r="I123"/>
      <c r="L123"/>
    </row>
    <row r="124" spans="1:12" ht="15.6" x14ac:dyDescent="0.3">
      <c r="A124" s="65" t="s">
        <v>450</v>
      </c>
      <c r="B124" s="65" t="s">
        <v>454</v>
      </c>
      <c r="C124" s="65">
        <v>1418</v>
      </c>
      <c r="D124" s="65">
        <v>7</v>
      </c>
      <c r="E124" s="68">
        <v>9926</v>
      </c>
      <c r="F124" s="70">
        <v>45580</v>
      </c>
      <c r="G124" s="69"/>
      <c r="I124"/>
      <c r="L124"/>
    </row>
    <row r="125" spans="1:12" ht="15.6" x14ac:dyDescent="0.3">
      <c r="A125" s="65" t="s">
        <v>447</v>
      </c>
      <c r="B125" s="65" t="s">
        <v>452</v>
      </c>
      <c r="C125" s="65">
        <v>583</v>
      </c>
      <c r="D125" s="65">
        <v>24</v>
      </c>
      <c r="E125" s="68">
        <v>13992</v>
      </c>
      <c r="F125" s="70">
        <v>45463</v>
      </c>
      <c r="G125" s="69"/>
      <c r="I125"/>
      <c r="L125"/>
    </row>
    <row r="126" spans="1:12" ht="15.6" x14ac:dyDescent="0.3">
      <c r="A126" s="65" t="s">
        <v>451</v>
      </c>
      <c r="B126" s="65" t="s">
        <v>63</v>
      </c>
      <c r="C126" s="65">
        <v>1144</v>
      </c>
      <c r="D126" s="65">
        <v>13</v>
      </c>
      <c r="E126" s="68">
        <v>14872</v>
      </c>
      <c r="F126" s="70">
        <v>45607</v>
      </c>
      <c r="G126" s="69"/>
      <c r="I126"/>
      <c r="L126"/>
    </row>
    <row r="127" spans="1:12" ht="15.6" x14ac:dyDescent="0.3">
      <c r="A127" s="65" t="s">
        <v>450</v>
      </c>
      <c r="B127" s="65" t="s">
        <v>61</v>
      </c>
      <c r="C127" s="65">
        <v>647</v>
      </c>
      <c r="D127" s="65">
        <v>5</v>
      </c>
      <c r="E127" s="68">
        <v>3235</v>
      </c>
      <c r="F127" s="70">
        <v>45506</v>
      </c>
      <c r="G127" s="69"/>
      <c r="I127"/>
      <c r="L127"/>
    </row>
    <row r="128" spans="1:12" ht="15.6" x14ac:dyDescent="0.3">
      <c r="A128" s="65" t="s">
        <v>453</v>
      </c>
      <c r="B128" s="65" t="s">
        <v>445</v>
      </c>
      <c r="C128" s="65">
        <v>2356</v>
      </c>
      <c r="D128" s="65">
        <v>2</v>
      </c>
      <c r="E128" s="68">
        <v>4712</v>
      </c>
      <c r="F128" s="70">
        <v>45476</v>
      </c>
      <c r="G128" s="69"/>
      <c r="I128"/>
      <c r="L128"/>
    </row>
    <row r="129" spans="1:12" ht="15.6" x14ac:dyDescent="0.3">
      <c r="A129" s="65" t="s">
        <v>170</v>
      </c>
      <c r="B129" s="65" t="s">
        <v>448</v>
      </c>
      <c r="C129" s="65">
        <v>1446</v>
      </c>
      <c r="D129" s="65">
        <v>39</v>
      </c>
      <c r="E129" s="68">
        <v>56394</v>
      </c>
      <c r="F129" s="70">
        <v>45538</v>
      </c>
      <c r="G129" s="69"/>
      <c r="I129"/>
      <c r="L129"/>
    </row>
    <row r="130" spans="1:12" ht="15.6" x14ac:dyDescent="0.3">
      <c r="A130" s="65" t="s">
        <v>450</v>
      </c>
      <c r="B130" s="65" t="s">
        <v>61</v>
      </c>
      <c r="C130" s="65">
        <v>929</v>
      </c>
      <c r="D130" s="65">
        <v>22</v>
      </c>
      <c r="E130" s="68">
        <v>20438</v>
      </c>
      <c r="F130" s="70">
        <v>45522</v>
      </c>
      <c r="G130" s="69"/>
      <c r="I130"/>
      <c r="L130"/>
    </row>
    <row r="131" spans="1:12" ht="15.6" x14ac:dyDescent="0.3">
      <c r="A131" s="65" t="s">
        <v>446</v>
      </c>
      <c r="B131" s="65" t="s">
        <v>448</v>
      </c>
      <c r="C131" s="65">
        <v>2291</v>
      </c>
      <c r="D131" s="65">
        <v>20</v>
      </c>
      <c r="E131" s="68">
        <v>45820</v>
      </c>
      <c r="F131" s="70">
        <v>45613</v>
      </c>
      <c r="G131" s="69"/>
      <c r="I131"/>
      <c r="L131"/>
    </row>
    <row r="132" spans="1:12" ht="15.6" x14ac:dyDescent="0.3">
      <c r="A132" s="65" t="s">
        <v>170</v>
      </c>
      <c r="B132" s="65" t="s">
        <v>445</v>
      </c>
      <c r="C132" s="65">
        <v>2570</v>
      </c>
      <c r="D132" s="65">
        <v>41</v>
      </c>
      <c r="E132" s="68">
        <v>105370</v>
      </c>
      <c r="F132" s="70">
        <v>45571</v>
      </c>
      <c r="G132" s="69"/>
      <c r="I132"/>
      <c r="L132"/>
    </row>
    <row r="133" spans="1:12" ht="15.6" x14ac:dyDescent="0.3">
      <c r="A133" s="65" t="s">
        <v>447</v>
      </c>
      <c r="B133" s="65" t="s">
        <v>448</v>
      </c>
      <c r="C133" s="65">
        <v>1360</v>
      </c>
      <c r="D133" s="65">
        <v>14</v>
      </c>
      <c r="E133" s="68">
        <v>19040</v>
      </c>
      <c r="F133" s="70">
        <v>45799</v>
      </c>
      <c r="G133" s="69"/>
      <c r="I133"/>
      <c r="L133"/>
    </row>
    <row r="134" spans="1:12" ht="15.6" x14ac:dyDescent="0.3">
      <c r="A134" s="65" t="s">
        <v>169</v>
      </c>
      <c r="B134" s="65" t="s">
        <v>61</v>
      </c>
      <c r="C134" s="65">
        <v>1427</v>
      </c>
      <c r="D134" s="65">
        <v>9</v>
      </c>
      <c r="E134" s="68">
        <v>12843</v>
      </c>
      <c r="F134" s="70">
        <v>45632</v>
      </c>
      <c r="G134" s="69"/>
      <c r="I134"/>
      <c r="L134"/>
    </row>
    <row r="135" spans="1:12" ht="15.6" x14ac:dyDescent="0.3">
      <c r="A135" s="65" t="s">
        <v>176</v>
      </c>
      <c r="B135" s="65" t="s">
        <v>448</v>
      </c>
      <c r="C135" s="65">
        <v>2865</v>
      </c>
      <c r="D135" s="65">
        <v>45</v>
      </c>
      <c r="E135" s="68">
        <v>128925</v>
      </c>
      <c r="F135" s="70">
        <v>45445</v>
      </c>
      <c r="G135" s="69"/>
      <c r="I135"/>
      <c r="L135"/>
    </row>
    <row r="136" spans="1:12" ht="15.6" x14ac:dyDescent="0.3">
      <c r="A136" s="65" t="s">
        <v>170</v>
      </c>
      <c r="B136" s="65" t="s">
        <v>63</v>
      </c>
      <c r="C136" s="65">
        <v>1954</v>
      </c>
      <c r="D136" s="65">
        <v>35</v>
      </c>
      <c r="E136" s="68">
        <v>68390</v>
      </c>
      <c r="F136" s="70">
        <v>45744</v>
      </c>
      <c r="G136" s="69"/>
      <c r="I136"/>
      <c r="L136"/>
    </row>
    <row r="137" spans="1:12" ht="15.6" x14ac:dyDescent="0.3">
      <c r="A137" s="65" t="s">
        <v>447</v>
      </c>
      <c r="B137" s="65" t="s">
        <v>171</v>
      </c>
      <c r="C137" s="65">
        <v>2208</v>
      </c>
      <c r="D137" s="65">
        <v>26</v>
      </c>
      <c r="E137" s="68">
        <v>57408</v>
      </c>
      <c r="F137" s="70">
        <v>45508</v>
      </c>
      <c r="G137" s="69"/>
      <c r="I137"/>
      <c r="L137"/>
    </row>
    <row r="138" spans="1:12" ht="15.6" x14ac:dyDescent="0.3">
      <c r="A138" s="65" t="s">
        <v>170</v>
      </c>
      <c r="B138" s="65" t="s">
        <v>63</v>
      </c>
      <c r="C138" s="65">
        <v>2087</v>
      </c>
      <c r="D138" s="65">
        <v>5</v>
      </c>
      <c r="E138" s="68">
        <v>10435</v>
      </c>
      <c r="F138" s="70">
        <v>45713</v>
      </c>
      <c r="G138" s="69"/>
      <c r="I138"/>
      <c r="L138"/>
    </row>
    <row r="139" spans="1:12" ht="15.6" x14ac:dyDescent="0.3">
      <c r="A139" s="65" t="s">
        <v>453</v>
      </c>
      <c r="B139" s="65" t="s">
        <v>452</v>
      </c>
      <c r="C139" s="65">
        <v>508</v>
      </c>
      <c r="D139" s="65">
        <v>28</v>
      </c>
      <c r="E139" s="68">
        <v>14224</v>
      </c>
      <c r="F139" s="70">
        <v>45483</v>
      </c>
      <c r="G139" s="69"/>
      <c r="I139"/>
      <c r="L139"/>
    </row>
    <row r="140" spans="1:12" ht="15.6" x14ac:dyDescent="0.3">
      <c r="A140" s="65" t="s">
        <v>170</v>
      </c>
      <c r="B140" s="65" t="s">
        <v>61</v>
      </c>
      <c r="C140" s="65">
        <v>946</v>
      </c>
      <c r="D140" s="65">
        <v>45</v>
      </c>
      <c r="E140" s="68">
        <v>42570</v>
      </c>
      <c r="F140" s="70">
        <v>45724</v>
      </c>
      <c r="G140" s="69"/>
      <c r="I140"/>
      <c r="L140"/>
    </row>
    <row r="141" spans="1:12" ht="15.6" x14ac:dyDescent="0.3">
      <c r="A141" s="65" t="s">
        <v>450</v>
      </c>
      <c r="B141" s="65" t="s">
        <v>61</v>
      </c>
      <c r="C141" s="65">
        <v>2089</v>
      </c>
      <c r="D141" s="65">
        <v>45</v>
      </c>
      <c r="E141" s="68">
        <v>94005</v>
      </c>
      <c r="F141" s="70">
        <v>45676</v>
      </c>
      <c r="G141" s="69"/>
      <c r="I141"/>
      <c r="L141"/>
    </row>
    <row r="142" spans="1:12" ht="15.6" x14ac:dyDescent="0.3">
      <c r="A142" s="65" t="s">
        <v>446</v>
      </c>
      <c r="B142" s="65" t="s">
        <v>63</v>
      </c>
      <c r="C142" s="65">
        <v>995</v>
      </c>
      <c r="D142" s="65">
        <v>41</v>
      </c>
      <c r="E142" s="68">
        <v>40795</v>
      </c>
      <c r="F142" s="70">
        <v>45555</v>
      </c>
      <c r="G142" s="69"/>
      <c r="I142"/>
      <c r="L142"/>
    </row>
    <row r="143" spans="1:12" ht="15.6" x14ac:dyDescent="0.3">
      <c r="A143" s="65" t="s">
        <v>447</v>
      </c>
      <c r="B143" s="65" t="s">
        <v>454</v>
      </c>
      <c r="C143" s="65">
        <v>2555</v>
      </c>
      <c r="D143" s="65">
        <v>49</v>
      </c>
      <c r="E143" s="68">
        <v>125195</v>
      </c>
      <c r="F143" s="70">
        <v>45552</v>
      </c>
      <c r="G143" s="69"/>
      <c r="I143"/>
      <c r="L143"/>
    </row>
    <row r="144" spans="1:12" ht="15.6" x14ac:dyDescent="0.3">
      <c r="A144" s="65" t="s">
        <v>449</v>
      </c>
      <c r="B144" s="65" t="s">
        <v>61</v>
      </c>
      <c r="C144" s="65">
        <v>393</v>
      </c>
      <c r="D144" s="65">
        <v>21</v>
      </c>
      <c r="E144" s="68">
        <v>8253</v>
      </c>
      <c r="F144" s="70">
        <v>45582</v>
      </c>
      <c r="G144" s="69"/>
      <c r="I144"/>
      <c r="L144"/>
    </row>
    <row r="145" spans="1:12" ht="15.6" x14ac:dyDescent="0.3">
      <c r="A145" s="65" t="s">
        <v>447</v>
      </c>
      <c r="B145" s="65" t="s">
        <v>454</v>
      </c>
      <c r="C145" s="65">
        <v>2777</v>
      </c>
      <c r="D145" s="65">
        <v>38</v>
      </c>
      <c r="E145" s="68">
        <v>105526</v>
      </c>
      <c r="F145" s="70">
        <v>45611</v>
      </c>
      <c r="G145" s="69"/>
      <c r="I145"/>
      <c r="L145"/>
    </row>
    <row r="146" spans="1:12" ht="15.6" x14ac:dyDescent="0.3">
      <c r="A146" s="65" t="s">
        <v>453</v>
      </c>
      <c r="B146" s="65" t="s">
        <v>63</v>
      </c>
      <c r="C146" s="65">
        <v>704</v>
      </c>
      <c r="D146" s="65">
        <v>24</v>
      </c>
      <c r="E146" s="68">
        <v>16896</v>
      </c>
      <c r="F146" s="70">
        <v>45716</v>
      </c>
      <c r="G146" s="69"/>
      <c r="I146"/>
      <c r="L146"/>
    </row>
    <row r="147" spans="1:12" ht="15.6" x14ac:dyDescent="0.3">
      <c r="A147" s="65" t="s">
        <v>450</v>
      </c>
      <c r="B147" s="65" t="s">
        <v>61</v>
      </c>
      <c r="C147" s="65">
        <v>2669</v>
      </c>
      <c r="D147" s="65">
        <v>10</v>
      </c>
      <c r="E147" s="68">
        <v>26690</v>
      </c>
      <c r="F147" s="70">
        <v>45541</v>
      </c>
      <c r="G147" s="69"/>
      <c r="I147"/>
      <c r="L147"/>
    </row>
    <row r="148" spans="1:12" ht="15.6" x14ac:dyDescent="0.3">
      <c r="A148" s="65" t="s">
        <v>446</v>
      </c>
      <c r="B148" s="65" t="s">
        <v>454</v>
      </c>
      <c r="C148" s="65">
        <v>344</v>
      </c>
      <c r="D148" s="65">
        <v>10</v>
      </c>
      <c r="E148" s="68">
        <v>3440</v>
      </c>
      <c r="F148" s="70">
        <v>45531</v>
      </c>
      <c r="G148" s="69"/>
      <c r="I148"/>
      <c r="L148"/>
    </row>
    <row r="149" spans="1:12" ht="15.6" x14ac:dyDescent="0.3">
      <c r="A149" s="65" t="s">
        <v>451</v>
      </c>
      <c r="B149" s="65" t="s">
        <v>63</v>
      </c>
      <c r="C149" s="65">
        <v>1348</v>
      </c>
      <c r="D149" s="65">
        <v>26</v>
      </c>
      <c r="E149" s="68">
        <v>35048</v>
      </c>
      <c r="F149" s="70">
        <v>45786</v>
      </c>
      <c r="G149" s="69"/>
      <c r="I149"/>
      <c r="L149"/>
    </row>
    <row r="150" spans="1:12" ht="15.6" x14ac:dyDescent="0.3">
      <c r="A150" s="65" t="s">
        <v>447</v>
      </c>
      <c r="B150" s="65" t="s">
        <v>445</v>
      </c>
      <c r="C150" s="65">
        <v>2410</v>
      </c>
      <c r="D150" s="65">
        <v>36</v>
      </c>
      <c r="E150" s="68">
        <v>86760</v>
      </c>
      <c r="F150" s="70">
        <v>45453</v>
      </c>
      <c r="G150" s="69"/>
      <c r="I150"/>
      <c r="L150"/>
    </row>
    <row r="151" spans="1:12" ht="15.6" x14ac:dyDescent="0.3">
      <c r="A151" s="65" t="s">
        <v>170</v>
      </c>
      <c r="B151" s="65" t="s">
        <v>171</v>
      </c>
      <c r="C151" s="65">
        <v>1191</v>
      </c>
      <c r="D151" s="65">
        <v>6</v>
      </c>
      <c r="E151" s="68">
        <v>7146</v>
      </c>
      <c r="F151" s="70">
        <v>45500</v>
      </c>
      <c r="G151" s="69"/>
      <c r="I151"/>
      <c r="L151"/>
    </row>
    <row r="152" spans="1:12" ht="15.6" x14ac:dyDescent="0.3">
      <c r="A152" s="65" t="s">
        <v>179</v>
      </c>
      <c r="B152" s="65" t="s">
        <v>448</v>
      </c>
      <c r="C152" s="65">
        <v>1088</v>
      </c>
      <c r="D152" s="65">
        <v>27</v>
      </c>
      <c r="E152" s="68">
        <v>29376</v>
      </c>
      <c r="F152" s="70">
        <v>45479</v>
      </c>
      <c r="G152" s="69"/>
      <c r="I152"/>
      <c r="L152"/>
    </row>
    <row r="153" spans="1:12" ht="15.6" x14ac:dyDescent="0.3">
      <c r="A153" s="65" t="s">
        <v>169</v>
      </c>
      <c r="B153" s="65" t="s">
        <v>452</v>
      </c>
      <c r="C153" s="65">
        <v>2908</v>
      </c>
      <c r="D153" s="65">
        <v>7</v>
      </c>
      <c r="E153" s="68">
        <v>20356</v>
      </c>
      <c r="F153" s="70">
        <v>45673</v>
      </c>
      <c r="G153" s="69"/>
      <c r="I153"/>
      <c r="L153"/>
    </row>
    <row r="154" spans="1:12" ht="15.6" x14ac:dyDescent="0.3">
      <c r="A154" s="65" t="s">
        <v>179</v>
      </c>
      <c r="B154" s="65" t="s">
        <v>61</v>
      </c>
      <c r="C154" s="65">
        <v>729</v>
      </c>
      <c r="D154" s="65">
        <v>44</v>
      </c>
      <c r="E154" s="68">
        <v>32076</v>
      </c>
      <c r="F154" s="70">
        <v>45456</v>
      </c>
      <c r="G154" s="69"/>
      <c r="I154"/>
      <c r="L154"/>
    </row>
    <row r="155" spans="1:12" ht="15.6" x14ac:dyDescent="0.3">
      <c r="A155" s="65" t="s">
        <v>451</v>
      </c>
      <c r="B155" s="65" t="s">
        <v>63</v>
      </c>
      <c r="C155" s="65">
        <v>1914</v>
      </c>
      <c r="D155" s="65">
        <v>9</v>
      </c>
      <c r="E155" s="68">
        <v>17226</v>
      </c>
      <c r="F155" s="70">
        <v>45598</v>
      </c>
      <c r="G155" s="69"/>
      <c r="I155"/>
      <c r="L155"/>
    </row>
    <row r="156" spans="1:12" ht="15.6" x14ac:dyDescent="0.3">
      <c r="A156" s="65" t="s">
        <v>451</v>
      </c>
      <c r="B156" s="65" t="s">
        <v>452</v>
      </c>
      <c r="C156" s="65">
        <v>2134</v>
      </c>
      <c r="D156" s="65">
        <v>7</v>
      </c>
      <c r="E156" s="68">
        <v>14938</v>
      </c>
      <c r="F156" s="70">
        <v>45508</v>
      </c>
      <c r="G156" s="69"/>
      <c r="I156"/>
      <c r="L156"/>
    </row>
    <row r="157" spans="1:12" ht="15.6" x14ac:dyDescent="0.3">
      <c r="A157" s="65" t="s">
        <v>169</v>
      </c>
      <c r="B157" s="65" t="s">
        <v>445</v>
      </c>
      <c r="C157" s="65">
        <v>2664</v>
      </c>
      <c r="D157" s="65">
        <v>44</v>
      </c>
      <c r="E157" s="68">
        <v>117216</v>
      </c>
      <c r="F157" s="70">
        <v>45637</v>
      </c>
      <c r="G157" s="69"/>
      <c r="I157"/>
      <c r="L157"/>
    </row>
    <row r="158" spans="1:12" ht="15.6" x14ac:dyDescent="0.3">
      <c r="A158" s="65" t="s">
        <v>453</v>
      </c>
      <c r="B158" s="65" t="s">
        <v>448</v>
      </c>
      <c r="C158" s="65">
        <v>365</v>
      </c>
      <c r="D158" s="65">
        <v>13</v>
      </c>
      <c r="E158" s="68">
        <v>4745</v>
      </c>
      <c r="F158" s="70">
        <v>45477</v>
      </c>
      <c r="G158" s="69"/>
      <c r="I158"/>
      <c r="L158"/>
    </row>
    <row r="159" spans="1:12" ht="15.6" x14ac:dyDescent="0.3">
      <c r="A159" s="65" t="s">
        <v>450</v>
      </c>
      <c r="B159" s="65" t="s">
        <v>454</v>
      </c>
      <c r="C159" s="65">
        <v>2970</v>
      </c>
      <c r="D159" s="65">
        <v>30</v>
      </c>
      <c r="E159" s="68">
        <v>89100</v>
      </c>
      <c r="F159" s="70">
        <v>45499</v>
      </c>
      <c r="G159" s="69"/>
      <c r="I159"/>
      <c r="L159"/>
    </row>
    <row r="160" spans="1:12" ht="15.6" x14ac:dyDescent="0.3">
      <c r="A160" s="65" t="s">
        <v>446</v>
      </c>
      <c r="B160" s="65" t="s">
        <v>454</v>
      </c>
      <c r="C160" s="65">
        <v>2891</v>
      </c>
      <c r="D160" s="65">
        <v>24</v>
      </c>
      <c r="E160" s="68">
        <v>69384</v>
      </c>
      <c r="F160" s="70">
        <v>45547</v>
      </c>
      <c r="G160" s="69"/>
      <c r="I160"/>
      <c r="L160"/>
    </row>
    <row r="161" spans="1:12" ht="15.6" x14ac:dyDescent="0.3">
      <c r="A161" s="65" t="s">
        <v>450</v>
      </c>
      <c r="B161" s="65" t="s">
        <v>454</v>
      </c>
      <c r="C161" s="65">
        <v>676</v>
      </c>
      <c r="D161" s="65">
        <v>34</v>
      </c>
      <c r="E161" s="68">
        <v>22984</v>
      </c>
      <c r="F161" s="70">
        <v>45596</v>
      </c>
      <c r="G161" s="69"/>
      <c r="I161"/>
      <c r="L161"/>
    </row>
    <row r="162" spans="1:12" ht="15.6" x14ac:dyDescent="0.3">
      <c r="A162" s="65" t="s">
        <v>169</v>
      </c>
      <c r="B162" s="65" t="s">
        <v>454</v>
      </c>
      <c r="C162" s="65">
        <v>678</v>
      </c>
      <c r="D162" s="65">
        <v>11</v>
      </c>
      <c r="E162" s="68">
        <v>7458</v>
      </c>
      <c r="F162" s="70">
        <v>45615</v>
      </c>
      <c r="G162" s="69"/>
      <c r="I162"/>
      <c r="L162"/>
    </row>
    <row r="163" spans="1:12" ht="15.6" x14ac:dyDescent="0.3">
      <c r="A163" s="65" t="s">
        <v>446</v>
      </c>
      <c r="B163" s="65" t="s">
        <v>63</v>
      </c>
      <c r="C163" s="65">
        <v>2947</v>
      </c>
      <c r="D163" s="65">
        <v>4</v>
      </c>
      <c r="E163" s="68">
        <v>11788</v>
      </c>
      <c r="F163" s="70">
        <v>45615</v>
      </c>
      <c r="G163" s="69"/>
      <c r="I163"/>
      <c r="L163"/>
    </row>
    <row r="164" spans="1:12" ht="15.6" x14ac:dyDescent="0.3">
      <c r="A164" s="65" t="s">
        <v>447</v>
      </c>
      <c r="B164" s="65" t="s">
        <v>445</v>
      </c>
      <c r="C164" s="65">
        <v>1896</v>
      </c>
      <c r="D164" s="65">
        <v>15</v>
      </c>
      <c r="E164" s="68">
        <v>28440</v>
      </c>
      <c r="F164" s="70">
        <v>45726</v>
      </c>
      <c r="G164" s="69"/>
      <c r="I164"/>
      <c r="L164"/>
    </row>
    <row r="165" spans="1:12" ht="15.6" x14ac:dyDescent="0.3">
      <c r="A165" s="65" t="s">
        <v>179</v>
      </c>
      <c r="B165" s="65" t="s">
        <v>171</v>
      </c>
      <c r="C165" s="65">
        <v>1946</v>
      </c>
      <c r="D165" s="65">
        <v>10</v>
      </c>
      <c r="E165" s="68">
        <v>19460</v>
      </c>
      <c r="F165" s="70">
        <v>45730</v>
      </c>
      <c r="G165" s="69"/>
      <c r="I165"/>
      <c r="L165"/>
    </row>
    <row r="166" spans="1:12" ht="15.6" x14ac:dyDescent="0.3">
      <c r="A166" s="65" t="s">
        <v>446</v>
      </c>
      <c r="B166" s="65" t="s">
        <v>454</v>
      </c>
      <c r="C166" s="65">
        <v>1459</v>
      </c>
      <c r="D166" s="65">
        <v>12</v>
      </c>
      <c r="E166" s="68">
        <v>17508</v>
      </c>
      <c r="F166" s="70">
        <v>45567</v>
      </c>
      <c r="G166" s="69"/>
      <c r="I166"/>
      <c r="L166"/>
    </row>
    <row r="167" spans="1:12" ht="15.6" x14ac:dyDescent="0.3">
      <c r="A167" s="65" t="s">
        <v>446</v>
      </c>
      <c r="B167" s="65" t="s">
        <v>61</v>
      </c>
      <c r="C167" s="65">
        <v>2138</v>
      </c>
      <c r="D167" s="65">
        <v>38</v>
      </c>
      <c r="E167" s="68">
        <v>81244</v>
      </c>
      <c r="F167" s="70">
        <v>45539</v>
      </c>
      <c r="G167" s="69"/>
      <c r="I167"/>
      <c r="L167"/>
    </row>
    <row r="168" spans="1:12" ht="15.6" x14ac:dyDescent="0.3">
      <c r="A168" s="65" t="s">
        <v>451</v>
      </c>
      <c r="B168" s="65" t="s">
        <v>61</v>
      </c>
      <c r="C168" s="65">
        <v>2794</v>
      </c>
      <c r="D168" s="65">
        <v>29</v>
      </c>
      <c r="E168" s="68">
        <v>81026</v>
      </c>
      <c r="F168" s="70">
        <v>45569</v>
      </c>
      <c r="G168" s="69"/>
      <c r="I168"/>
      <c r="L168"/>
    </row>
    <row r="169" spans="1:12" ht="15.6" x14ac:dyDescent="0.3">
      <c r="A169" s="65" t="s">
        <v>451</v>
      </c>
      <c r="B169" s="65" t="s">
        <v>61</v>
      </c>
      <c r="C169" s="65">
        <v>201</v>
      </c>
      <c r="D169" s="65">
        <v>19</v>
      </c>
      <c r="E169" s="68">
        <v>3819</v>
      </c>
      <c r="F169" s="70">
        <v>45765</v>
      </c>
      <c r="G169" s="69"/>
      <c r="I169"/>
      <c r="L169"/>
    </row>
    <row r="170" spans="1:12" ht="15.6" x14ac:dyDescent="0.3">
      <c r="A170" s="65" t="s">
        <v>451</v>
      </c>
      <c r="B170" s="65" t="s">
        <v>445</v>
      </c>
      <c r="C170" s="65">
        <v>554</v>
      </c>
      <c r="D170" s="65">
        <v>47</v>
      </c>
      <c r="E170" s="68">
        <v>26038</v>
      </c>
      <c r="F170" s="70">
        <v>45666</v>
      </c>
      <c r="G170" s="69"/>
      <c r="I170"/>
      <c r="L170"/>
    </row>
    <row r="171" spans="1:12" ht="15.6" x14ac:dyDescent="0.3">
      <c r="A171" s="65" t="s">
        <v>450</v>
      </c>
      <c r="B171" s="65" t="s">
        <v>445</v>
      </c>
      <c r="C171" s="65">
        <v>2400</v>
      </c>
      <c r="D171" s="65">
        <v>8</v>
      </c>
      <c r="E171" s="68">
        <v>19200</v>
      </c>
      <c r="F171" s="70">
        <v>45773</v>
      </c>
      <c r="G171" s="69"/>
      <c r="I171"/>
      <c r="L171"/>
    </row>
    <row r="172" spans="1:12" ht="15.6" x14ac:dyDescent="0.3">
      <c r="A172" s="65" t="s">
        <v>447</v>
      </c>
      <c r="B172" s="65" t="s">
        <v>171</v>
      </c>
      <c r="C172" s="65">
        <v>2920</v>
      </c>
      <c r="D172" s="65">
        <v>48</v>
      </c>
      <c r="E172" s="68">
        <v>140160</v>
      </c>
      <c r="F172" s="70">
        <v>45581</v>
      </c>
      <c r="G172" s="69"/>
      <c r="I172"/>
      <c r="L172"/>
    </row>
    <row r="173" spans="1:12" ht="15.6" x14ac:dyDescent="0.3">
      <c r="A173" s="65" t="s">
        <v>170</v>
      </c>
      <c r="B173" s="65" t="s">
        <v>63</v>
      </c>
      <c r="C173" s="65">
        <v>1244</v>
      </c>
      <c r="D173" s="65">
        <v>20</v>
      </c>
      <c r="E173" s="68">
        <v>24880</v>
      </c>
      <c r="F173" s="70">
        <v>45647</v>
      </c>
      <c r="G173" s="69"/>
      <c r="I173"/>
      <c r="L173"/>
    </row>
    <row r="174" spans="1:12" ht="15.6" x14ac:dyDescent="0.3">
      <c r="A174" s="65" t="s">
        <v>179</v>
      </c>
      <c r="B174" s="65" t="s">
        <v>448</v>
      </c>
      <c r="C174" s="65">
        <v>673</v>
      </c>
      <c r="D174" s="65">
        <v>33</v>
      </c>
      <c r="E174" s="68">
        <v>22209</v>
      </c>
      <c r="F174" s="70">
        <v>45721</v>
      </c>
      <c r="G174" s="69"/>
      <c r="I174"/>
      <c r="L174"/>
    </row>
    <row r="175" spans="1:12" ht="15.6" x14ac:dyDescent="0.3">
      <c r="A175" s="65" t="s">
        <v>451</v>
      </c>
      <c r="B175" s="65" t="s">
        <v>445</v>
      </c>
      <c r="C175" s="65">
        <v>2096</v>
      </c>
      <c r="D175" s="65">
        <v>13</v>
      </c>
      <c r="E175" s="68">
        <v>27248</v>
      </c>
      <c r="F175" s="70">
        <v>45706</v>
      </c>
      <c r="G175" s="69"/>
      <c r="I175"/>
      <c r="L175"/>
    </row>
    <row r="176" spans="1:12" ht="15.6" x14ac:dyDescent="0.3">
      <c r="A176" s="65" t="s">
        <v>450</v>
      </c>
      <c r="B176" s="65" t="s">
        <v>454</v>
      </c>
      <c r="C176" s="65">
        <v>1267</v>
      </c>
      <c r="D176" s="65">
        <v>13</v>
      </c>
      <c r="E176" s="68">
        <v>16471</v>
      </c>
      <c r="F176" s="70">
        <v>45449</v>
      </c>
      <c r="G176" s="69"/>
      <c r="I176"/>
      <c r="L176"/>
    </row>
    <row r="177" spans="1:12" ht="15.6" x14ac:dyDescent="0.3">
      <c r="A177" s="65" t="s">
        <v>451</v>
      </c>
      <c r="B177" s="65" t="s">
        <v>171</v>
      </c>
      <c r="C177" s="65">
        <v>883</v>
      </c>
      <c r="D177" s="65">
        <v>26</v>
      </c>
      <c r="E177" s="68">
        <v>22958</v>
      </c>
      <c r="F177" s="70">
        <v>45559</v>
      </c>
      <c r="G177" s="69"/>
      <c r="I177"/>
      <c r="L177"/>
    </row>
    <row r="178" spans="1:12" ht="15.6" x14ac:dyDescent="0.3">
      <c r="A178" s="65" t="s">
        <v>447</v>
      </c>
      <c r="B178" s="65" t="s">
        <v>61</v>
      </c>
      <c r="C178" s="65">
        <v>1565</v>
      </c>
      <c r="D178" s="65">
        <v>37</v>
      </c>
      <c r="E178" s="68">
        <v>57905</v>
      </c>
      <c r="F178" s="70">
        <v>45489</v>
      </c>
      <c r="G178" s="69"/>
      <c r="I178"/>
      <c r="L178"/>
    </row>
    <row r="179" spans="1:12" ht="15.6" x14ac:dyDescent="0.3">
      <c r="A179" s="65" t="s">
        <v>446</v>
      </c>
      <c r="B179" s="65" t="s">
        <v>63</v>
      </c>
      <c r="C179" s="65">
        <v>1912</v>
      </c>
      <c r="D179" s="65">
        <v>27</v>
      </c>
      <c r="E179" s="68">
        <v>51624</v>
      </c>
      <c r="F179" s="70">
        <v>45777</v>
      </c>
      <c r="G179" s="69"/>
      <c r="I179"/>
      <c r="L179"/>
    </row>
    <row r="180" spans="1:12" ht="15.6" x14ac:dyDescent="0.3">
      <c r="A180" s="65" t="s">
        <v>453</v>
      </c>
      <c r="B180" s="65" t="s">
        <v>63</v>
      </c>
      <c r="C180" s="65">
        <v>1491</v>
      </c>
      <c r="D180" s="65">
        <v>25</v>
      </c>
      <c r="E180" s="68">
        <v>37275</v>
      </c>
      <c r="F180" s="70">
        <v>45752</v>
      </c>
      <c r="G180" s="69"/>
      <c r="I180"/>
      <c r="L180"/>
    </row>
    <row r="181" spans="1:12" ht="15.6" x14ac:dyDescent="0.3">
      <c r="A181" s="65" t="s">
        <v>453</v>
      </c>
      <c r="B181" s="65" t="s">
        <v>61</v>
      </c>
      <c r="C181" s="65">
        <v>2899</v>
      </c>
      <c r="D181" s="65">
        <v>4</v>
      </c>
      <c r="E181" s="68">
        <v>11596</v>
      </c>
      <c r="F181" s="70">
        <v>45732</v>
      </c>
      <c r="G181" s="69"/>
      <c r="I181"/>
      <c r="L181"/>
    </row>
    <row r="182" spans="1:12" ht="15.6" x14ac:dyDescent="0.3">
      <c r="A182" s="65" t="s">
        <v>450</v>
      </c>
      <c r="B182" s="65" t="s">
        <v>448</v>
      </c>
      <c r="C182" s="65">
        <v>201</v>
      </c>
      <c r="D182" s="65">
        <v>46</v>
      </c>
      <c r="E182" s="68">
        <v>9246</v>
      </c>
      <c r="F182" s="70">
        <v>45502</v>
      </c>
      <c r="G182" s="69"/>
      <c r="I182"/>
      <c r="L182"/>
    </row>
    <row r="183" spans="1:12" ht="15.6" x14ac:dyDescent="0.3">
      <c r="A183" s="65" t="s">
        <v>446</v>
      </c>
      <c r="B183" s="65" t="s">
        <v>452</v>
      </c>
      <c r="C183" s="65">
        <v>2811</v>
      </c>
      <c r="D183" s="65">
        <v>27</v>
      </c>
      <c r="E183" s="68">
        <v>75897</v>
      </c>
      <c r="F183" s="70">
        <v>45757</v>
      </c>
      <c r="G183" s="69"/>
      <c r="I183"/>
      <c r="L183"/>
    </row>
    <row r="184" spans="1:12" ht="15.6" x14ac:dyDescent="0.3">
      <c r="A184" s="65" t="s">
        <v>176</v>
      </c>
      <c r="B184" s="65" t="s">
        <v>452</v>
      </c>
      <c r="C184" s="65">
        <v>2106</v>
      </c>
      <c r="D184" s="65">
        <v>16</v>
      </c>
      <c r="E184" s="68">
        <v>33696</v>
      </c>
      <c r="F184" s="70">
        <v>45802</v>
      </c>
      <c r="G184" s="69"/>
      <c r="I184"/>
      <c r="L184"/>
    </row>
    <row r="185" spans="1:12" ht="15.6" x14ac:dyDescent="0.3">
      <c r="A185" s="65" t="s">
        <v>170</v>
      </c>
      <c r="B185" s="65" t="s">
        <v>61</v>
      </c>
      <c r="C185" s="65">
        <v>2787</v>
      </c>
      <c r="D185" s="65">
        <v>9</v>
      </c>
      <c r="E185" s="68">
        <v>25083</v>
      </c>
      <c r="F185" s="70">
        <v>45750</v>
      </c>
      <c r="G185" s="69"/>
      <c r="I185"/>
      <c r="L185"/>
    </row>
    <row r="186" spans="1:12" ht="15.6" x14ac:dyDescent="0.3">
      <c r="A186" s="65" t="s">
        <v>453</v>
      </c>
      <c r="B186" s="65" t="s">
        <v>61</v>
      </c>
      <c r="C186" s="65">
        <v>223</v>
      </c>
      <c r="D186" s="65">
        <v>1</v>
      </c>
      <c r="E186" s="68">
        <v>223</v>
      </c>
      <c r="F186" s="70">
        <v>45507</v>
      </c>
      <c r="G186" s="69"/>
      <c r="I186"/>
      <c r="L186"/>
    </row>
    <row r="187" spans="1:12" ht="15.6" x14ac:dyDescent="0.3">
      <c r="A187" s="65" t="s">
        <v>176</v>
      </c>
      <c r="B187" s="65" t="s">
        <v>448</v>
      </c>
      <c r="C187" s="65">
        <v>1251</v>
      </c>
      <c r="D187" s="65">
        <v>32</v>
      </c>
      <c r="E187" s="68">
        <v>40032</v>
      </c>
      <c r="F187" s="70">
        <v>45734</v>
      </c>
      <c r="G187" s="69"/>
      <c r="I187"/>
      <c r="L187"/>
    </row>
    <row r="188" spans="1:12" ht="15.6" x14ac:dyDescent="0.3">
      <c r="A188" s="65" t="s">
        <v>449</v>
      </c>
      <c r="B188" s="65" t="s">
        <v>61</v>
      </c>
      <c r="C188" s="65">
        <v>1966</v>
      </c>
      <c r="D188" s="65">
        <v>9</v>
      </c>
      <c r="E188" s="68">
        <v>17694</v>
      </c>
      <c r="F188" s="70">
        <v>45681</v>
      </c>
      <c r="G188" s="69"/>
      <c r="I188"/>
      <c r="L188"/>
    </row>
    <row r="189" spans="1:12" ht="15.6" x14ac:dyDescent="0.3">
      <c r="A189" s="65" t="s">
        <v>447</v>
      </c>
      <c r="B189" s="65" t="s">
        <v>63</v>
      </c>
      <c r="C189" s="65">
        <v>2676</v>
      </c>
      <c r="D189" s="65">
        <v>44</v>
      </c>
      <c r="E189" s="68">
        <v>117744</v>
      </c>
      <c r="F189" s="70">
        <v>45495</v>
      </c>
      <c r="G189" s="69"/>
      <c r="I189"/>
      <c r="L189"/>
    </row>
    <row r="190" spans="1:12" ht="15.6" x14ac:dyDescent="0.3">
      <c r="A190" s="65" t="s">
        <v>446</v>
      </c>
      <c r="B190" s="65" t="s">
        <v>448</v>
      </c>
      <c r="C190" s="65">
        <v>619</v>
      </c>
      <c r="D190" s="65">
        <v>48</v>
      </c>
      <c r="E190" s="68">
        <v>29712</v>
      </c>
      <c r="F190" s="70">
        <v>45651</v>
      </c>
      <c r="G190" s="69"/>
      <c r="I190"/>
      <c r="L190"/>
    </row>
    <row r="191" spans="1:12" ht="15.6" x14ac:dyDescent="0.3">
      <c r="A191" s="65" t="s">
        <v>450</v>
      </c>
      <c r="B191" s="65" t="s">
        <v>445</v>
      </c>
      <c r="C191" s="65">
        <v>564</v>
      </c>
      <c r="D191" s="65">
        <v>1</v>
      </c>
      <c r="E191" s="68">
        <v>564</v>
      </c>
      <c r="F191" s="70">
        <v>45669</v>
      </c>
      <c r="G191" s="69"/>
      <c r="I191"/>
      <c r="L191"/>
    </row>
    <row r="192" spans="1:12" ht="15.6" x14ac:dyDescent="0.3">
      <c r="A192" s="65" t="s">
        <v>450</v>
      </c>
      <c r="B192" s="65" t="s">
        <v>445</v>
      </c>
      <c r="C192" s="65">
        <v>1738</v>
      </c>
      <c r="D192" s="65">
        <v>19</v>
      </c>
      <c r="E192" s="68">
        <v>33022</v>
      </c>
      <c r="F192" s="70">
        <v>45790</v>
      </c>
      <c r="G192" s="69"/>
      <c r="I192"/>
      <c r="L192"/>
    </row>
    <row r="193" spans="1:12" ht="15.6" x14ac:dyDescent="0.3">
      <c r="A193" s="65" t="s">
        <v>453</v>
      </c>
      <c r="B193" s="65" t="s">
        <v>445</v>
      </c>
      <c r="C193" s="65">
        <v>421</v>
      </c>
      <c r="D193" s="65">
        <v>18</v>
      </c>
      <c r="E193" s="68">
        <v>7578</v>
      </c>
      <c r="F193" s="70">
        <v>45717</v>
      </c>
      <c r="G193" s="69"/>
      <c r="I193"/>
      <c r="L193"/>
    </row>
    <row r="194" spans="1:12" ht="15.6" x14ac:dyDescent="0.3">
      <c r="A194" s="65" t="s">
        <v>446</v>
      </c>
      <c r="B194" s="65" t="s">
        <v>61</v>
      </c>
      <c r="C194" s="65">
        <v>1906</v>
      </c>
      <c r="D194" s="65">
        <v>40</v>
      </c>
      <c r="E194" s="68">
        <v>76240</v>
      </c>
      <c r="F194" s="70">
        <v>45722</v>
      </c>
      <c r="G194" s="69"/>
      <c r="I194"/>
      <c r="L194"/>
    </row>
    <row r="195" spans="1:12" ht="15.6" x14ac:dyDescent="0.3">
      <c r="A195" s="65" t="s">
        <v>169</v>
      </c>
      <c r="B195" s="65" t="s">
        <v>452</v>
      </c>
      <c r="C195" s="65">
        <v>408</v>
      </c>
      <c r="D195" s="65">
        <v>6</v>
      </c>
      <c r="E195" s="68">
        <v>2448</v>
      </c>
      <c r="F195" s="70">
        <v>45587</v>
      </c>
      <c r="G195" s="69"/>
      <c r="I195"/>
      <c r="L195"/>
    </row>
    <row r="196" spans="1:12" ht="15.6" x14ac:dyDescent="0.3">
      <c r="A196" s="65" t="s">
        <v>169</v>
      </c>
      <c r="B196" s="65" t="s">
        <v>63</v>
      </c>
      <c r="C196" s="65">
        <v>2765</v>
      </c>
      <c r="D196" s="65">
        <v>5</v>
      </c>
      <c r="E196" s="68">
        <v>13825</v>
      </c>
      <c r="F196" s="70">
        <v>45508</v>
      </c>
      <c r="G196" s="69"/>
      <c r="I196"/>
      <c r="L196"/>
    </row>
    <row r="197" spans="1:12" ht="15.6" x14ac:dyDescent="0.3">
      <c r="A197" s="65" t="s">
        <v>169</v>
      </c>
      <c r="B197" s="65" t="s">
        <v>448</v>
      </c>
      <c r="C197" s="65">
        <v>1002</v>
      </c>
      <c r="D197" s="65">
        <v>1</v>
      </c>
      <c r="E197" s="68">
        <v>1002</v>
      </c>
      <c r="F197" s="70">
        <v>45669</v>
      </c>
      <c r="G197" s="69"/>
      <c r="I197"/>
      <c r="L197"/>
    </row>
    <row r="198" spans="1:12" ht="15.6" x14ac:dyDescent="0.3">
      <c r="A198" s="65" t="s">
        <v>450</v>
      </c>
      <c r="B198" s="65" t="s">
        <v>454</v>
      </c>
      <c r="C198" s="65">
        <v>1003</v>
      </c>
      <c r="D198" s="65">
        <v>33</v>
      </c>
      <c r="E198" s="68">
        <v>33099</v>
      </c>
      <c r="F198" s="70">
        <v>45559</v>
      </c>
      <c r="G198" s="69"/>
      <c r="I198"/>
      <c r="L198"/>
    </row>
    <row r="199" spans="1:12" ht="15.6" x14ac:dyDescent="0.3">
      <c r="A199" s="65" t="s">
        <v>169</v>
      </c>
      <c r="B199" s="65" t="s">
        <v>454</v>
      </c>
      <c r="C199" s="65">
        <v>267</v>
      </c>
      <c r="D199" s="65">
        <v>21</v>
      </c>
      <c r="E199" s="68">
        <v>5607</v>
      </c>
      <c r="F199" s="70">
        <v>45751</v>
      </c>
      <c r="G199" s="69"/>
      <c r="I199"/>
      <c r="L199"/>
    </row>
    <row r="200" spans="1:12" ht="15.6" x14ac:dyDescent="0.3">
      <c r="A200" s="65" t="s">
        <v>170</v>
      </c>
      <c r="B200" s="65" t="s">
        <v>171</v>
      </c>
      <c r="C200" s="65">
        <v>2900</v>
      </c>
      <c r="D200" s="65">
        <v>23</v>
      </c>
      <c r="E200" s="68">
        <v>66700</v>
      </c>
      <c r="F200" s="70">
        <v>45577</v>
      </c>
      <c r="G200" s="69"/>
      <c r="I200"/>
      <c r="L200"/>
    </row>
    <row r="201" spans="1:12" x14ac:dyDescent="0.25">
      <c r="A201" s="65" t="s">
        <v>451</v>
      </c>
      <c r="B201" s="65" t="s">
        <v>445</v>
      </c>
      <c r="C201" s="65">
        <v>2705</v>
      </c>
      <c r="D201" s="65">
        <v>12</v>
      </c>
      <c r="E201" s="68">
        <v>32460</v>
      </c>
      <c r="F201" s="70">
        <v>45695</v>
      </c>
      <c r="G201" s="69"/>
    </row>
  </sheetData>
  <mergeCells count="5">
    <mergeCell ref="I1:J1"/>
    <mergeCell ref="I6:J6"/>
    <mergeCell ref="I9:J9"/>
    <mergeCell ref="I4:J4"/>
    <mergeCell ref="I15:J15"/>
  </mergeCells>
  <dataValidations count="2">
    <dataValidation type="list" allowBlank="1" showInputMessage="1" showErrorMessage="1" sqref="I8 I3 I14" xr:uid="{D1C6C3AB-5614-4930-9C72-C086A64F171C}">
      <formula1>$P$1:$P$7</formula1>
    </dataValidation>
    <dataValidation type="list" allowBlank="1" showInputMessage="1" showErrorMessage="1" sqref="J3 J8 J14" xr:uid="{988F3807-9DDC-4950-A4AB-969216A1D560}">
      <formula1>$Q$1:$Q$10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3E469-B2AF-45A1-A1C1-F8B540DBA655}">
  <sheetPr>
    <tabColor rgb="FF92D050"/>
  </sheetPr>
  <dimension ref="A1:O201"/>
  <sheetViews>
    <sheetView workbookViewId="0">
      <selection activeCell="G7" sqref="G7:H7"/>
    </sheetView>
  </sheetViews>
  <sheetFormatPr defaultRowHeight="15" x14ac:dyDescent="0.25"/>
  <cols>
    <col min="1" max="1" width="13.33203125" style="66" customWidth="1"/>
    <col min="2" max="2" width="18.44140625" style="66" customWidth="1"/>
    <col min="3" max="4" width="13.33203125" style="66" customWidth="1"/>
    <col min="5" max="5" width="12.109375" style="64" bestFit="1" customWidth="1"/>
    <col min="6" max="6" width="8.88671875" style="64"/>
    <col min="7" max="7" width="15.77734375" style="64" customWidth="1"/>
    <col min="8" max="8" width="16.109375" style="64" customWidth="1"/>
    <col min="9" max="9" width="8.88671875" style="64"/>
    <col min="10" max="10" width="13" style="64" customWidth="1"/>
    <col min="11" max="13" width="8.88671875" style="64"/>
    <col min="14" max="14" width="12.109375" style="64" hidden="1" customWidth="1"/>
    <col min="15" max="15" width="0" style="64" hidden="1" customWidth="1"/>
    <col min="16" max="16384" width="8.88671875" style="64"/>
  </cols>
  <sheetData>
    <row r="1" spans="1:15" ht="19.2" customHeight="1" x14ac:dyDescent="0.25">
      <c r="A1" s="67" t="s">
        <v>162</v>
      </c>
      <c r="B1" s="67" t="s">
        <v>163</v>
      </c>
      <c r="C1" s="67" t="s">
        <v>166</v>
      </c>
      <c r="D1" s="67" t="s">
        <v>167</v>
      </c>
      <c r="G1" s="72" t="s">
        <v>67</v>
      </c>
      <c r="H1" s="72" t="s">
        <v>162</v>
      </c>
      <c r="N1" s="65" t="s">
        <v>445</v>
      </c>
      <c r="O1" s="65" t="s">
        <v>179</v>
      </c>
    </row>
    <row r="2" spans="1:15" x14ac:dyDescent="0.25">
      <c r="A2" s="65" t="s">
        <v>179</v>
      </c>
      <c r="B2" s="65" t="s">
        <v>445</v>
      </c>
      <c r="C2" s="68">
        <v>50462</v>
      </c>
      <c r="D2" s="70">
        <v>45543</v>
      </c>
      <c r="E2" s="69"/>
      <c r="G2" s="135" t="s">
        <v>448</v>
      </c>
      <c r="H2" s="136"/>
      <c r="N2" s="65" t="s">
        <v>454</v>
      </c>
      <c r="O2" s="65" t="s">
        <v>446</v>
      </c>
    </row>
    <row r="3" spans="1:15" x14ac:dyDescent="0.25">
      <c r="A3" s="65" t="s">
        <v>446</v>
      </c>
      <c r="B3" s="65" t="s">
        <v>454</v>
      </c>
      <c r="C3" s="68">
        <v>4480</v>
      </c>
      <c r="D3" s="70">
        <v>45503</v>
      </c>
      <c r="E3" s="69"/>
      <c r="G3" s="134">
        <f>COUNTIFS(B2:B201,G2)</f>
        <v>33</v>
      </c>
      <c r="H3" s="134"/>
      <c r="N3" s="65" t="s">
        <v>63</v>
      </c>
      <c r="O3" s="65" t="s">
        <v>176</v>
      </c>
    </row>
    <row r="4" spans="1:15" ht="15.6" customHeight="1" x14ac:dyDescent="0.25">
      <c r="A4" s="65" t="s">
        <v>179</v>
      </c>
      <c r="B4" s="65" t="s">
        <v>454</v>
      </c>
      <c r="C4" s="68">
        <v>14064</v>
      </c>
      <c r="D4" s="70">
        <v>45805</v>
      </c>
      <c r="E4" s="69"/>
      <c r="N4" s="65" t="s">
        <v>171</v>
      </c>
      <c r="O4" s="65" t="s">
        <v>447</v>
      </c>
    </row>
    <row r="5" spans="1:15" ht="15.6" x14ac:dyDescent="0.25">
      <c r="A5" s="65" t="s">
        <v>176</v>
      </c>
      <c r="B5" s="65" t="s">
        <v>63</v>
      </c>
      <c r="C5" s="68">
        <v>4707</v>
      </c>
      <c r="D5" s="70">
        <v>45463</v>
      </c>
      <c r="E5" s="69"/>
      <c r="G5" s="72" t="s">
        <v>67</v>
      </c>
      <c r="H5" s="72" t="s">
        <v>162</v>
      </c>
      <c r="N5" s="65" t="s">
        <v>448</v>
      </c>
      <c r="O5" s="65" t="s">
        <v>449</v>
      </c>
    </row>
    <row r="6" spans="1:15" x14ac:dyDescent="0.25">
      <c r="A6" s="65" t="s">
        <v>176</v>
      </c>
      <c r="B6" s="65" t="s">
        <v>454</v>
      </c>
      <c r="C6" s="68">
        <v>69397</v>
      </c>
      <c r="D6" s="70">
        <v>45782</v>
      </c>
      <c r="E6" s="69"/>
      <c r="G6" s="65" t="s">
        <v>63</v>
      </c>
      <c r="H6" s="65" t="s">
        <v>176</v>
      </c>
      <c r="N6" s="65" t="s">
        <v>452</v>
      </c>
      <c r="O6" s="65" t="s">
        <v>450</v>
      </c>
    </row>
    <row r="7" spans="1:15" x14ac:dyDescent="0.25">
      <c r="A7" s="65" t="s">
        <v>447</v>
      </c>
      <c r="B7" s="65" t="s">
        <v>171</v>
      </c>
      <c r="C7" s="68">
        <v>11397</v>
      </c>
      <c r="D7" s="70">
        <v>45502</v>
      </c>
      <c r="E7" s="69"/>
      <c r="G7" s="134">
        <f>COUNTIFS(A2:A201,H6,B2:B201,G6)</f>
        <v>4</v>
      </c>
      <c r="H7" s="134"/>
      <c r="N7" s="65" t="s">
        <v>61</v>
      </c>
      <c r="O7" s="65" t="s">
        <v>451</v>
      </c>
    </row>
    <row r="8" spans="1:15" ht="15.6" x14ac:dyDescent="0.3">
      <c r="A8" s="65" t="s">
        <v>179</v>
      </c>
      <c r="B8" s="65" t="s">
        <v>448</v>
      </c>
      <c r="C8" s="68">
        <v>7320</v>
      </c>
      <c r="D8" s="70">
        <v>45698</v>
      </c>
      <c r="E8" s="69"/>
      <c r="G8"/>
      <c r="H8"/>
      <c r="O8" s="65" t="s">
        <v>170</v>
      </c>
    </row>
    <row r="9" spans="1:15" ht="15.6" x14ac:dyDescent="0.3">
      <c r="A9" s="65" t="s">
        <v>449</v>
      </c>
      <c r="B9" s="65" t="s">
        <v>448</v>
      </c>
      <c r="C9" s="68">
        <v>6941</v>
      </c>
      <c r="D9" s="70">
        <v>45594</v>
      </c>
      <c r="E9" s="69"/>
      <c r="G9"/>
      <c r="H9"/>
      <c r="O9" s="65" t="s">
        <v>169</v>
      </c>
    </row>
    <row r="10" spans="1:15" ht="15.6" x14ac:dyDescent="0.3">
      <c r="A10" s="65" t="s">
        <v>450</v>
      </c>
      <c r="B10" s="65" t="s">
        <v>448</v>
      </c>
      <c r="C10" s="68">
        <v>61065</v>
      </c>
      <c r="D10" s="70">
        <v>45704</v>
      </c>
      <c r="E10" s="69"/>
      <c r="G10"/>
      <c r="H10"/>
      <c r="O10" s="65" t="s">
        <v>453</v>
      </c>
    </row>
    <row r="11" spans="1:15" ht="15.6" x14ac:dyDescent="0.3">
      <c r="A11" s="65" t="s">
        <v>451</v>
      </c>
      <c r="B11" s="65" t="s">
        <v>445</v>
      </c>
      <c r="C11" s="68">
        <v>16849</v>
      </c>
      <c r="D11" s="70">
        <v>45790</v>
      </c>
      <c r="E11" s="69"/>
      <c r="G11"/>
      <c r="H11"/>
      <c r="J11"/>
    </row>
    <row r="12" spans="1:15" ht="15.6" x14ac:dyDescent="0.3">
      <c r="A12" s="65" t="s">
        <v>446</v>
      </c>
      <c r="B12" s="65" t="s">
        <v>63</v>
      </c>
      <c r="C12" s="68">
        <v>16710</v>
      </c>
      <c r="D12" s="70">
        <v>45649</v>
      </c>
      <c r="E12" s="69"/>
      <c r="G12"/>
      <c r="H12"/>
      <c r="J12"/>
    </row>
    <row r="13" spans="1:15" ht="15.6" x14ac:dyDescent="0.3">
      <c r="A13" s="65" t="s">
        <v>447</v>
      </c>
      <c r="B13" s="65" t="s">
        <v>452</v>
      </c>
      <c r="C13" s="68">
        <v>12521</v>
      </c>
      <c r="D13" s="70">
        <v>45482</v>
      </c>
      <c r="E13" s="69"/>
      <c r="G13"/>
      <c r="H13"/>
      <c r="J13"/>
    </row>
    <row r="14" spans="1:15" ht="15.6" x14ac:dyDescent="0.3">
      <c r="A14" s="65" t="s">
        <v>176</v>
      </c>
      <c r="B14" s="65" t="s">
        <v>448</v>
      </c>
      <c r="C14" s="68">
        <v>24792</v>
      </c>
      <c r="D14" s="70">
        <v>45778</v>
      </c>
      <c r="E14" s="69"/>
      <c r="G14"/>
      <c r="H14"/>
      <c r="J14"/>
    </row>
    <row r="15" spans="1:15" ht="15.6" x14ac:dyDescent="0.3">
      <c r="A15" s="65" t="s">
        <v>170</v>
      </c>
      <c r="B15" s="65" t="s">
        <v>63</v>
      </c>
      <c r="C15" s="68">
        <v>57300</v>
      </c>
      <c r="D15" s="70">
        <v>45484</v>
      </c>
      <c r="E15" s="69"/>
      <c r="G15"/>
      <c r="H15"/>
      <c r="J15"/>
    </row>
    <row r="16" spans="1:15" ht="15.6" x14ac:dyDescent="0.3">
      <c r="A16" s="65" t="s">
        <v>450</v>
      </c>
      <c r="B16" s="65" t="s">
        <v>452</v>
      </c>
      <c r="C16" s="68">
        <v>67600</v>
      </c>
      <c r="D16" s="70">
        <v>45483</v>
      </c>
      <c r="E16" s="69"/>
      <c r="J16"/>
    </row>
    <row r="17" spans="1:10" ht="15.6" x14ac:dyDescent="0.3">
      <c r="A17" s="65" t="s">
        <v>169</v>
      </c>
      <c r="B17" s="65" t="s">
        <v>452</v>
      </c>
      <c r="C17" s="68">
        <v>28512</v>
      </c>
      <c r="D17" s="70">
        <v>45629</v>
      </c>
      <c r="E17" s="69"/>
      <c r="G17"/>
      <c r="J17"/>
    </row>
    <row r="18" spans="1:10" ht="15.6" x14ac:dyDescent="0.3">
      <c r="A18" s="65" t="s">
        <v>169</v>
      </c>
      <c r="B18" s="65" t="s">
        <v>454</v>
      </c>
      <c r="C18" s="68">
        <v>13825</v>
      </c>
      <c r="D18" s="70">
        <v>45728</v>
      </c>
      <c r="E18" s="69"/>
      <c r="G18"/>
      <c r="J18"/>
    </row>
    <row r="19" spans="1:10" ht="15.6" x14ac:dyDescent="0.3">
      <c r="A19" s="65" t="s">
        <v>450</v>
      </c>
      <c r="B19" s="65" t="s">
        <v>448</v>
      </c>
      <c r="C19" s="68">
        <v>5960</v>
      </c>
      <c r="D19" s="70">
        <v>45604</v>
      </c>
      <c r="E19" s="69"/>
      <c r="G19"/>
      <c r="J19"/>
    </row>
    <row r="20" spans="1:10" ht="15.6" x14ac:dyDescent="0.3">
      <c r="A20" s="65" t="s">
        <v>169</v>
      </c>
      <c r="B20" s="65" t="s">
        <v>63</v>
      </c>
      <c r="C20" s="68">
        <v>42020</v>
      </c>
      <c r="D20" s="70">
        <v>45504</v>
      </c>
      <c r="E20" s="69"/>
      <c r="G20"/>
      <c r="J20"/>
    </row>
    <row r="21" spans="1:10" ht="15.6" x14ac:dyDescent="0.3">
      <c r="A21" s="65" t="s">
        <v>447</v>
      </c>
      <c r="B21" s="65" t="s">
        <v>454</v>
      </c>
      <c r="C21" s="68">
        <v>22593</v>
      </c>
      <c r="D21" s="70">
        <v>45659</v>
      </c>
      <c r="E21" s="69"/>
      <c r="G21"/>
      <c r="J21"/>
    </row>
    <row r="22" spans="1:10" ht="15.6" x14ac:dyDescent="0.3">
      <c r="A22" s="65" t="s">
        <v>446</v>
      </c>
      <c r="B22" s="65" t="s">
        <v>63</v>
      </c>
      <c r="C22" s="68">
        <v>15300</v>
      </c>
      <c r="D22" s="70">
        <v>45465</v>
      </c>
      <c r="E22" s="69"/>
      <c r="G22"/>
      <c r="J22"/>
    </row>
    <row r="23" spans="1:10" ht="15.6" x14ac:dyDescent="0.3">
      <c r="A23" s="65" t="s">
        <v>169</v>
      </c>
      <c r="B23" s="65" t="s">
        <v>452</v>
      </c>
      <c r="C23" s="68">
        <v>76405</v>
      </c>
      <c r="D23" s="70">
        <v>45477</v>
      </c>
      <c r="E23" s="69"/>
      <c r="G23"/>
      <c r="J23"/>
    </row>
    <row r="24" spans="1:10" ht="15.6" x14ac:dyDescent="0.3">
      <c r="A24" s="65" t="s">
        <v>453</v>
      </c>
      <c r="B24" s="65" t="s">
        <v>171</v>
      </c>
      <c r="C24" s="68">
        <v>21424</v>
      </c>
      <c r="D24" s="70">
        <v>45603</v>
      </c>
      <c r="E24" s="69"/>
      <c r="G24"/>
      <c r="J24"/>
    </row>
    <row r="25" spans="1:10" ht="15.6" x14ac:dyDescent="0.3">
      <c r="A25" s="65" t="s">
        <v>169</v>
      </c>
      <c r="B25" s="65" t="s">
        <v>61</v>
      </c>
      <c r="C25" s="68">
        <v>17616</v>
      </c>
      <c r="D25" s="70">
        <v>45715</v>
      </c>
      <c r="E25" s="69"/>
      <c r="G25"/>
      <c r="J25"/>
    </row>
    <row r="26" spans="1:10" ht="15.6" x14ac:dyDescent="0.3">
      <c r="A26" s="65" t="s">
        <v>451</v>
      </c>
      <c r="B26" s="65" t="s">
        <v>448</v>
      </c>
      <c r="C26" s="68">
        <v>13050</v>
      </c>
      <c r="D26" s="70">
        <v>45711</v>
      </c>
      <c r="E26" s="69"/>
      <c r="G26"/>
      <c r="J26"/>
    </row>
    <row r="27" spans="1:10" ht="15.6" x14ac:dyDescent="0.3">
      <c r="A27" s="65" t="s">
        <v>451</v>
      </c>
      <c r="B27" s="65" t="s">
        <v>448</v>
      </c>
      <c r="C27" s="68">
        <v>66654</v>
      </c>
      <c r="D27" s="70">
        <v>45778</v>
      </c>
      <c r="E27" s="69"/>
      <c r="G27"/>
      <c r="J27"/>
    </row>
    <row r="28" spans="1:10" ht="15.6" x14ac:dyDescent="0.3">
      <c r="A28" s="65" t="s">
        <v>453</v>
      </c>
      <c r="B28" s="65" t="s">
        <v>63</v>
      </c>
      <c r="C28" s="68">
        <v>42678</v>
      </c>
      <c r="D28" s="70">
        <v>45477</v>
      </c>
      <c r="E28" s="69"/>
      <c r="G28"/>
      <c r="J28"/>
    </row>
    <row r="29" spans="1:10" ht="15.6" x14ac:dyDescent="0.3">
      <c r="A29" s="65" t="s">
        <v>446</v>
      </c>
      <c r="B29" s="65" t="s">
        <v>171</v>
      </c>
      <c r="C29" s="68">
        <v>42945</v>
      </c>
      <c r="D29" s="70">
        <v>45735</v>
      </c>
      <c r="E29" s="69"/>
      <c r="G29"/>
      <c r="J29"/>
    </row>
    <row r="30" spans="1:10" ht="15.6" x14ac:dyDescent="0.3">
      <c r="A30" s="65" t="s">
        <v>449</v>
      </c>
      <c r="B30" s="65" t="s">
        <v>171</v>
      </c>
      <c r="C30" s="68">
        <v>61488</v>
      </c>
      <c r="D30" s="70">
        <v>45739</v>
      </c>
      <c r="E30" s="69"/>
      <c r="G30"/>
      <c r="J30"/>
    </row>
    <row r="31" spans="1:10" ht="15.6" x14ac:dyDescent="0.3">
      <c r="A31" s="65" t="s">
        <v>170</v>
      </c>
      <c r="B31" s="65" t="s">
        <v>454</v>
      </c>
      <c r="C31" s="68">
        <v>15732</v>
      </c>
      <c r="D31" s="70">
        <v>45698</v>
      </c>
      <c r="E31" s="69"/>
      <c r="G31"/>
      <c r="J31"/>
    </row>
    <row r="32" spans="1:10" ht="15.6" x14ac:dyDescent="0.3">
      <c r="A32" s="65" t="s">
        <v>451</v>
      </c>
      <c r="B32" s="65" t="s">
        <v>454</v>
      </c>
      <c r="C32" s="68">
        <v>97421</v>
      </c>
      <c r="D32" s="70">
        <v>45740</v>
      </c>
      <c r="E32" s="69"/>
      <c r="G32"/>
      <c r="J32"/>
    </row>
    <row r="33" spans="1:10" ht="15.6" x14ac:dyDescent="0.3">
      <c r="A33" s="65" t="s">
        <v>450</v>
      </c>
      <c r="B33" s="65" t="s">
        <v>452</v>
      </c>
      <c r="C33" s="68">
        <v>133814</v>
      </c>
      <c r="D33" s="70">
        <v>45503</v>
      </c>
      <c r="E33" s="69"/>
      <c r="G33"/>
      <c r="J33"/>
    </row>
    <row r="34" spans="1:10" ht="15.6" x14ac:dyDescent="0.3">
      <c r="A34" s="65" t="s">
        <v>176</v>
      </c>
      <c r="B34" s="65" t="s">
        <v>63</v>
      </c>
      <c r="C34" s="68">
        <v>80864</v>
      </c>
      <c r="D34" s="70">
        <v>45786</v>
      </c>
      <c r="E34" s="69"/>
      <c r="G34"/>
      <c r="J34"/>
    </row>
    <row r="35" spans="1:10" ht="15.6" x14ac:dyDescent="0.3">
      <c r="A35" s="65" t="s">
        <v>453</v>
      </c>
      <c r="B35" s="65" t="s">
        <v>171</v>
      </c>
      <c r="C35" s="68">
        <v>37000</v>
      </c>
      <c r="D35" s="70">
        <v>45452</v>
      </c>
      <c r="E35" s="69"/>
      <c r="G35"/>
      <c r="J35"/>
    </row>
    <row r="36" spans="1:10" ht="15.6" x14ac:dyDescent="0.3">
      <c r="A36" s="65" t="s">
        <v>179</v>
      </c>
      <c r="B36" s="65" t="s">
        <v>454</v>
      </c>
      <c r="C36" s="68">
        <v>83504</v>
      </c>
      <c r="D36" s="70">
        <v>45546</v>
      </c>
      <c r="E36" s="69"/>
      <c r="G36"/>
      <c r="J36"/>
    </row>
    <row r="37" spans="1:10" ht="15.6" x14ac:dyDescent="0.3">
      <c r="A37" s="65" t="s">
        <v>176</v>
      </c>
      <c r="B37" s="65" t="s">
        <v>61</v>
      </c>
      <c r="C37" s="68">
        <v>4752</v>
      </c>
      <c r="D37" s="70">
        <v>45769</v>
      </c>
      <c r="E37" s="69"/>
      <c r="G37"/>
      <c r="J37"/>
    </row>
    <row r="38" spans="1:10" ht="15.6" x14ac:dyDescent="0.3">
      <c r="A38" s="65" t="s">
        <v>453</v>
      </c>
      <c r="B38" s="65" t="s">
        <v>452</v>
      </c>
      <c r="C38" s="68">
        <v>47150</v>
      </c>
      <c r="D38" s="70">
        <v>45487</v>
      </c>
      <c r="E38" s="69"/>
      <c r="G38"/>
      <c r="J38"/>
    </row>
    <row r="39" spans="1:10" ht="15.6" x14ac:dyDescent="0.3">
      <c r="A39" s="65" t="s">
        <v>446</v>
      </c>
      <c r="B39" s="65" t="s">
        <v>61</v>
      </c>
      <c r="C39" s="68">
        <v>21356</v>
      </c>
      <c r="D39" s="70">
        <v>45740</v>
      </c>
      <c r="E39" s="69"/>
      <c r="G39"/>
      <c r="J39"/>
    </row>
    <row r="40" spans="1:10" ht="15.6" x14ac:dyDescent="0.3">
      <c r="A40" s="65" t="s">
        <v>451</v>
      </c>
      <c r="B40" s="65" t="s">
        <v>448</v>
      </c>
      <c r="C40" s="68">
        <v>36316</v>
      </c>
      <c r="D40" s="70">
        <v>45753</v>
      </c>
      <c r="E40" s="69"/>
      <c r="G40"/>
      <c r="J40"/>
    </row>
    <row r="41" spans="1:10" ht="15.6" x14ac:dyDescent="0.3">
      <c r="A41" s="65" t="s">
        <v>446</v>
      </c>
      <c r="B41" s="65" t="s">
        <v>452</v>
      </c>
      <c r="C41" s="68">
        <v>124430</v>
      </c>
      <c r="D41" s="70">
        <v>45780</v>
      </c>
      <c r="E41" s="69"/>
      <c r="G41"/>
      <c r="J41"/>
    </row>
    <row r="42" spans="1:10" ht="15.6" x14ac:dyDescent="0.3">
      <c r="A42" s="65" t="s">
        <v>169</v>
      </c>
      <c r="B42" s="65" t="s">
        <v>448</v>
      </c>
      <c r="C42" s="68">
        <v>29260</v>
      </c>
      <c r="D42" s="70">
        <v>45522</v>
      </c>
      <c r="E42" s="69"/>
      <c r="G42"/>
      <c r="J42"/>
    </row>
    <row r="43" spans="1:10" ht="15.6" x14ac:dyDescent="0.3">
      <c r="A43" s="65" t="s">
        <v>169</v>
      </c>
      <c r="B43" s="65" t="s">
        <v>454</v>
      </c>
      <c r="C43" s="68">
        <v>35462</v>
      </c>
      <c r="D43" s="70">
        <v>45778</v>
      </c>
      <c r="E43" s="69"/>
      <c r="G43"/>
      <c r="J43"/>
    </row>
    <row r="44" spans="1:10" ht="15.6" x14ac:dyDescent="0.3">
      <c r="A44" s="65" t="s">
        <v>453</v>
      </c>
      <c r="B44" s="65" t="s">
        <v>61</v>
      </c>
      <c r="C44" s="68">
        <v>48195</v>
      </c>
      <c r="D44" s="70">
        <v>45573</v>
      </c>
      <c r="E44" s="69"/>
      <c r="G44"/>
      <c r="J44"/>
    </row>
    <row r="45" spans="1:10" ht="15.6" x14ac:dyDescent="0.3">
      <c r="A45" s="65" t="s">
        <v>453</v>
      </c>
      <c r="B45" s="65" t="s">
        <v>61</v>
      </c>
      <c r="C45" s="68">
        <v>24189</v>
      </c>
      <c r="D45" s="70">
        <v>45616</v>
      </c>
      <c r="E45" s="69"/>
      <c r="G45"/>
      <c r="J45"/>
    </row>
    <row r="46" spans="1:10" ht="15.6" x14ac:dyDescent="0.3">
      <c r="A46" s="65" t="s">
        <v>450</v>
      </c>
      <c r="B46" s="65" t="s">
        <v>171</v>
      </c>
      <c r="C46" s="68">
        <v>28060</v>
      </c>
      <c r="D46" s="70">
        <v>45726</v>
      </c>
      <c r="E46" s="69"/>
      <c r="G46"/>
      <c r="J46"/>
    </row>
    <row r="47" spans="1:10" ht="15.6" x14ac:dyDescent="0.3">
      <c r="A47" s="65" t="s">
        <v>179</v>
      </c>
      <c r="B47" s="65" t="s">
        <v>452</v>
      </c>
      <c r="C47" s="68">
        <v>30723</v>
      </c>
      <c r="D47" s="70">
        <v>45454</v>
      </c>
      <c r="E47" s="69"/>
      <c r="G47"/>
      <c r="J47"/>
    </row>
    <row r="48" spans="1:10" ht="15.6" x14ac:dyDescent="0.3">
      <c r="A48" s="65" t="s">
        <v>451</v>
      </c>
      <c r="B48" s="65" t="s">
        <v>445</v>
      </c>
      <c r="C48" s="68">
        <v>8925</v>
      </c>
      <c r="D48" s="70">
        <v>45551</v>
      </c>
      <c r="E48" s="69"/>
      <c r="G48"/>
      <c r="J48"/>
    </row>
    <row r="49" spans="1:10" ht="15.6" x14ac:dyDescent="0.3">
      <c r="A49" s="65" t="s">
        <v>446</v>
      </c>
      <c r="B49" s="65" t="s">
        <v>448</v>
      </c>
      <c r="C49" s="68">
        <v>38780</v>
      </c>
      <c r="D49" s="70">
        <v>45773</v>
      </c>
      <c r="E49" s="69"/>
      <c r="G49"/>
      <c r="J49"/>
    </row>
    <row r="50" spans="1:10" ht="15.6" x14ac:dyDescent="0.3">
      <c r="A50" s="65" t="s">
        <v>451</v>
      </c>
      <c r="B50" s="65" t="s">
        <v>61</v>
      </c>
      <c r="C50" s="68">
        <v>5397</v>
      </c>
      <c r="D50" s="70">
        <v>45482</v>
      </c>
      <c r="E50" s="69"/>
      <c r="G50"/>
      <c r="J50"/>
    </row>
    <row r="51" spans="1:10" ht="15.6" x14ac:dyDescent="0.3">
      <c r="A51" s="65" t="s">
        <v>447</v>
      </c>
      <c r="B51" s="65" t="s">
        <v>61</v>
      </c>
      <c r="C51" s="68">
        <v>3542</v>
      </c>
      <c r="D51" s="70">
        <v>45700</v>
      </c>
      <c r="E51" s="69"/>
      <c r="G51"/>
      <c r="J51"/>
    </row>
    <row r="52" spans="1:10" ht="15.6" x14ac:dyDescent="0.3">
      <c r="A52" s="65" t="s">
        <v>453</v>
      </c>
      <c r="B52" s="65" t="s">
        <v>61</v>
      </c>
      <c r="C52" s="68">
        <v>18752</v>
      </c>
      <c r="D52" s="70">
        <v>45696</v>
      </c>
      <c r="E52" s="69"/>
      <c r="G52"/>
      <c r="J52"/>
    </row>
    <row r="53" spans="1:10" ht="15.6" x14ac:dyDescent="0.3">
      <c r="A53" s="65" t="s">
        <v>169</v>
      </c>
      <c r="B53" s="65" t="s">
        <v>454</v>
      </c>
      <c r="C53" s="68">
        <v>111950</v>
      </c>
      <c r="D53" s="70">
        <v>45480</v>
      </c>
      <c r="E53" s="69"/>
      <c r="G53"/>
      <c r="J53"/>
    </row>
    <row r="54" spans="1:10" ht="15.6" x14ac:dyDescent="0.3">
      <c r="A54" s="65" t="s">
        <v>447</v>
      </c>
      <c r="B54" s="65" t="s">
        <v>445</v>
      </c>
      <c r="C54" s="68">
        <v>30300</v>
      </c>
      <c r="D54" s="70">
        <v>45796</v>
      </c>
      <c r="E54" s="69"/>
      <c r="G54"/>
      <c r="J54"/>
    </row>
    <row r="55" spans="1:10" ht="15.6" x14ac:dyDescent="0.3">
      <c r="A55" s="65" t="s">
        <v>453</v>
      </c>
      <c r="B55" s="65" t="s">
        <v>445</v>
      </c>
      <c r="C55" s="68">
        <v>82866</v>
      </c>
      <c r="D55" s="70">
        <v>45601</v>
      </c>
      <c r="E55" s="69"/>
      <c r="G55"/>
      <c r="J55"/>
    </row>
    <row r="56" spans="1:10" ht="15.6" x14ac:dyDescent="0.3">
      <c r="A56" s="65" t="s">
        <v>451</v>
      </c>
      <c r="B56" s="65" t="s">
        <v>63</v>
      </c>
      <c r="C56" s="68">
        <v>68208</v>
      </c>
      <c r="D56" s="70">
        <v>45678</v>
      </c>
      <c r="E56" s="69"/>
      <c r="G56"/>
      <c r="J56"/>
    </row>
    <row r="57" spans="1:10" ht="15.6" x14ac:dyDescent="0.3">
      <c r="A57" s="65" t="s">
        <v>447</v>
      </c>
      <c r="B57" s="65" t="s">
        <v>63</v>
      </c>
      <c r="C57" s="68">
        <v>38080</v>
      </c>
      <c r="D57" s="70">
        <v>45592</v>
      </c>
      <c r="E57" s="69"/>
      <c r="G57"/>
      <c r="J57"/>
    </row>
    <row r="58" spans="1:10" ht="15.6" x14ac:dyDescent="0.3">
      <c r="A58" s="65" t="s">
        <v>449</v>
      </c>
      <c r="B58" s="65" t="s">
        <v>454</v>
      </c>
      <c r="C58" s="68">
        <v>11520</v>
      </c>
      <c r="D58" s="70">
        <v>45704</v>
      </c>
      <c r="E58" s="69"/>
      <c r="G58"/>
      <c r="J58"/>
    </row>
    <row r="59" spans="1:10" ht="15.6" x14ac:dyDescent="0.3">
      <c r="A59" s="65" t="s">
        <v>453</v>
      </c>
      <c r="B59" s="65" t="s">
        <v>171</v>
      </c>
      <c r="C59" s="68">
        <v>36223</v>
      </c>
      <c r="D59" s="70">
        <v>45621</v>
      </c>
      <c r="E59" s="69"/>
      <c r="G59"/>
      <c r="J59"/>
    </row>
    <row r="60" spans="1:10" ht="15.6" x14ac:dyDescent="0.3">
      <c r="A60" s="65" t="s">
        <v>451</v>
      </c>
      <c r="B60" s="65" t="s">
        <v>454</v>
      </c>
      <c r="C60" s="68">
        <v>48150</v>
      </c>
      <c r="D60" s="70">
        <v>45577</v>
      </c>
      <c r="E60" s="69"/>
      <c r="G60"/>
      <c r="J60"/>
    </row>
    <row r="61" spans="1:10" ht="15.6" x14ac:dyDescent="0.3">
      <c r="A61" s="65" t="s">
        <v>169</v>
      </c>
      <c r="B61" s="65" t="s">
        <v>63</v>
      </c>
      <c r="C61" s="68">
        <v>3224</v>
      </c>
      <c r="D61" s="70">
        <v>45558</v>
      </c>
      <c r="E61" s="69"/>
      <c r="G61"/>
      <c r="J61"/>
    </row>
    <row r="62" spans="1:10" ht="15.6" x14ac:dyDescent="0.3">
      <c r="A62" s="65" t="s">
        <v>169</v>
      </c>
      <c r="B62" s="65" t="s">
        <v>63</v>
      </c>
      <c r="C62" s="68">
        <v>21544</v>
      </c>
      <c r="D62" s="70">
        <v>45568</v>
      </c>
      <c r="E62" s="69"/>
      <c r="G62"/>
      <c r="J62"/>
    </row>
    <row r="63" spans="1:10" ht="15.6" x14ac:dyDescent="0.3">
      <c r="A63" s="65" t="s">
        <v>176</v>
      </c>
      <c r="B63" s="65" t="s">
        <v>171</v>
      </c>
      <c r="C63" s="68">
        <v>2761</v>
      </c>
      <c r="D63" s="70">
        <v>45767</v>
      </c>
      <c r="E63" s="69"/>
      <c r="G63"/>
      <c r="J63"/>
    </row>
    <row r="64" spans="1:10" ht="15.6" x14ac:dyDescent="0.3">
      <c r="A64" s="65" t="s">
        <v>176</v>
      </c>
      <c r="B64" s="65" t="s">
        <v>171</v>
      </c>
      <c r="C64" s="68">
        <v>70781</v>
      </c>
      <c r="D64" s="70">
        <v>45795</v>
      </c>
      <c r="E64" s="69"/>
      <c r="G64"/>
      <c r="J64"/>
    </row>
    <row r="65" spans="1:10" ht="15.6" x14ac:dyDescent="0.3">
      <c r="A65" s="65" t="s">
        <v>169</v>
      </c>
      <c r="B65" s="65" t="s">
        <v>452</v>
      </c>
      <c r="C65" s="68">
        <v>49056</v>
      </c>
      <c r="D65" s="70">
        <v>45786</v>
      </c>
      <c r="E65" s="69"/>
      <c r="G65"/>
      <c r="J65"/>
    </row>
    <row r="66" spans="1:10" ht="15.6" x14ac:dyDescent="0.3">
      <c r="A66" s="65" t="s">
        <v>447</v>
      </c>
      <c r="B66" s="65" t="s">
        <v>452</v>
      </c>
      <c r="C66" s="68">
        <v>69024</v>
      </c>
      <c r="D66" s="70">
        <v>45488</v>
      </c>
      <c r="E66" s="69"/>
      <c r="G66"/>
      <c r="J66"/>
    </row>
    <row r="67" spans="1:10" ht="15.6" x14ac:dyDescent="0.3">
      <c r="A67" s="65" t="s">
        <v>176</v>
      </c>
      <c r="B67" s="65" t="s">
        <v>448</v>
      </c>
      <c r="C67" s="68">
        <v>20160</v>
      </c>
      <c r="D67" s="70">
        <v>45445</v>
      </c>
      <c r="E67" s="69"/>
      <c r="G67"/>
      <c r="J67"/>
    </row>
    <row r="68" spans="1:10" ht="15.6" x14ac:dyDescent="0.3">
      <c r="A68" s="65" t="s">
        <v>451</v>
      </c>
      <c r="B68" s="65" t="s">
        <v>452</v>
      </c>
      <c r="C68" s="68">
        <v>1279</v>
      </c>
      <c r="D68" s="70">
        <v>45651</v>
      </c>
      <c r="E68" s="69"/>
      <c r="G68"/>
      <c r="J68"/>
    </row>
    <row r="69" spans="1:10" ht="15.6" x14ac:dyDescent="0.3">
      <c r="A69" s="65" t="s">
        <v>446</v>
      </c>
      <c r="B69" s="65" t="s">
        <v>171</v>
      </c>
      <c r="C69" s="68">
        <v>12233</v>
      </c>
      <c r="D69" s="70">
        <v>45557</v>
      </c>
      <c r="E69" s="69"/>
      <c r="G69"/>
      <c r="J69"/>
    </row>
    <row r="70" spans="1:10" ht="15.6" x14ac:dyDescent="0.3">
      <c r="A70" s="65" t="s">
        <v>450</v>
      </c>
      <c r="B70" s="65" t="s">
        <v>452</v>
      </c>
      <c r="C70" s="68">
        <v>83136</v>
      </c>
      <c r="D70" s="70">
        <v>45588</v>
      </c>
      <c r="E70" s="69"/>
      <c r="G70"/>
      <c r="J70"/>
    </row>
    <row r="71" spans="1:10" ht="15.6" x14ac:dyDescent="0.3">
      <c r="A71" s="65" t="s">
        <v>453</v>
      </c>
      <c r="B71" s="65" t="s">
        <v>448</v>
      </c>
      <c r="C71" s="68">
        <v>40796</v>
      </c>
      <c r="D71" s="70">
        <v>45558</v>
      </c>
      <c r="E71" s="69"/>
      <c r="G71"/>
      <c r="J71"/>
    </row>
    <row r="72" spans="1:10" ht="15.6" x14ac:dyDescent="0.3">
      <c r="A72" s="65" t="s">
        <v>176</v>
      </c>
      <c r="B72" s="65" t="s">
        <v>63</v>
      </c>
      <c r="C72" s="68">
        <v>100016</v>
      </c>
      <c r="D72" s="70">
        <v>45542</v>
      </c>
      <c r="E72" s="69"/>
      <c r="G72"/>
      <c r="J72"/>
    </row>
    <row r="73" spans="1:10" ht="15.6" x14ac:dyDescent="0.3">
      <c r="A73" s="65" t="s">
        <v>453</v>
      </c>
      <c r="B73" s="65" t="s">
        <v>452</v>
      </c>
      <c r="C73" s="68">
        <v>32130</v>
      </c>
      <c r="D73" s="70">
        <v>45760</v>
      </c>
      <c r="E73" s="69"/>
      <c r="G73"/>
      <c r="J73"/>
    </row>
    <row r="74" spans="1:10" ht="15.6" x14ac:dyDescent="0.3">
      <c r="A74" s="65" t="s">
        <v>449</v>
      </c>
      <c r="B74" s="65" t="s">
        <v>63</v>
      </c>
      <c r="C74" s="68">
        <v>69107</v>
      </c>
      <c r="D74" s="70">
        <v>45662</v>
      </c>
      <c r="E74" s="69"/>
      <c r="G74"/>
      <c r="J74"/>
    </row>
    <row r="75" spans="1:10" ht="15.6" x14ac:dyDescent="0.3">
      <c r="A75" s="65" t="s">
        <v>179</v>
      </c>
      <c r="B75" s="65" t="s">
        <v>448</v>
      </c>
      <c r="C75" s="68">
        <v>1602</v>
      </c>
      <c r="D75" s="70">
        <v>45493</v>
      </c>
      <c r="E75" s="69"/>
      <c r="G75"/>
      <c r="J75"/>
    </row>
    <row r="76" spans="1:10" ht="15.6" x14ac:dyDescent="0.3">
      <c r="A76" s="65" t="s">
        <v>179</v>
      </c>
      <c r="B76" s="65" t="s">
        <v>454</v>
      </c>
      <c r="C76" s="68">
        <v>31208</v>
      </c>
      <c r="D76" s="70">
        <v>45476</v>
      </c>
      <c r="E76" s="69"/>
      <c r="G76"/>
      <c r="J76"/>
    </row>
    <row r="77" spans="1:10" ht="15.6" x14ac:dyDescent="0.3">
      <c r="A77" s="65" t="s">
        <v>449</v>
      </c>
      <c r="B77" s="65" t="s">
        <v>445</v>
      </c>
      <c r="C77" s="68">
        <v>2525</v>
      </c>
      <c r="D77" s="70">
        <v>45732</v>
      </c>
      <c r="E77" s="69"/>
      <c r="G77"/>
      <c r="J77"/>
    </row>
    <row r="78" spans="1:10" ht="15.6" x14ac:dyDescent="0.3">
      <c r="A78" s="65" t="s">
        <v>450</v>
      </c>
      <c r="B78" s="65" t="s">
        <v>448</v>
      </c>
      <c r="C78" s="68">
        <v>6762</v>
      </c>
      <c r="D78" s="70">
        <v>45569</v>
      </c>
      <c r="E78" s="69"/>
      <c r="G78"/>
      <c r="J78"/>
    </row>
    <row r="79" spans="1:10" ht="15.6" x14ac:dyDescent="0.3">
      <c r="A79" s="65" t="s">
        <v>447</v>
      </c>
      <c r="B79" s="65" t="s">
        <v>63</v>
      </c>
      <c r="C79" s="68">
        <v>104300</v>
      </c>
      <c r="D79" s="70">
        <v>45450</v>
      </c>
      <c r="E79" s="69"/>
      <c r="G79"/>
      <c r="J79"/>
    </row>
    <row r="80" spans="1:10" ht="15.6" x14ac:dyDescent="0.3">
      <c r="A80" s="65" t="s">
        <v>450</v>
      </c>
      <c r="B80" s="65" t="s">
        <v>171</v>
      </c>
      <c r="C80" s="68">
        <v>67743</v>
      </c>
      <c r="D80" s="70">
        <v>45529</v>
      </c>
      <c r="E80" s="69"/>
      <c r="G80"/>
      <c r="J80"/>
    </row>
    <row r="81" spans="1:10" ht="15.6" x14ac:dyDescent="0.3">
      <c r="A81" s="65" t="s">
        <v>453</v>
      </c>
      <c r="B81" s="65" t="s">
        <v>61</v>
      </c>
      <c r="C81" s="68">
        <v>454</v>
      </c>
      <c r="D81" s="70">
        <v>45576</v>
      </c>
      <c r="E81" s="69"/>
      <c r="G81"/>
      <c r="J81"/>
    </row>
    <row r="82" spans="1:10" ht="15.6" x14ac:dyDescent="0.3">
      <c r="A82" s="65" t="s">
        <v>179</v>
      </c>
      <c r="B82" s="65" t="s">
        <v>61</v>
      </c>
      <c r="C82" s="68">
        <v>14176</v>
      </c>
      <c r="D82" s="70">
        <v>45468</v>
      </c>
      <c r="E82" s="69"/>
      <c r="G82"/>
      <c r="J82"/>
    </row>
    <row r="83" spans="1:10" ht="15.6" x14ac:dyDescent="0.3">
      <c r="A83" s="65" t="s">
        <v>447</v>
      </c>
      <c r="B83" s="65" t="s">
        <v>448</v>
      </c>
      <c r="C83" s="68">
        <v>45952</v>
      </c>
      <c r="D83" s="70">
        <v>45757</v>
      </c>
      <c r="E83" s="69"/>
      <c r="G83"/>
      <c r="J83"/>
    </row>
    <row r="84" spans="1:10" ht="15.6" x14ac:dyDescent="0.3">
      <c r="A84" s="65" t="s">
        <v>169</v>
      </c>
      <c r="B84" s="65" t="s">
        <v>171</v>
      </c>
      <c r="C84" s="68">
        <v>49728</v>
      </c>
      <c r="D84" s="70">
        <v>45675</v>
      </c>
      <c r="E84" s="69"/>
      <c r="G84"/>
      <c r="J84"/>
    </row>
    <row r="85" spans="1:10" ht="15.6" x14ac:dyDescent="0.3">
      <c r="A85" s="65" t="s">
        <v>170</v>
      </c>
      <c r="B85" s="65" t="s">
        <v>61</v>
      </c>
      <c r="C85" s="68">
        <v>64001</v>
      </c>
      <c r="D85" s="70">
        <v>45679</v>
      </c>
      <c r="E85" s="69"/>
      <c r="G85"/>
      <c r="J85"/>
    </row>
    <row r="86" spans="1:10" ht="15.6" x14ac:dyDescent="0.3">
      <c r="A86" s="65" t="s">
        <v>450</v>
      </c>
      <c r="B86" s="65" t="s">
        <v>61</v>
      </c>
      <c r="C86" s="68">
        <v>23310</v>
      </c>
      <c r="D86" s="70">
        <v>45711</v>
      </c>
      <c r="E86" s="69"/>
      <c r="G86"/>
      <c r="J86"/>
    </row>
    <row r="87" spans="1:10" ht="15.6" x14ac:dyDescent="0.3">
      <c r="A87" s="65" t="s">
        <v>447</v>
      </c>
      <c r="B87" s="65" t="s">
        <v>454</v>
      </c>
      <c r="C87" s="68">
        <v>64120</v>
      </c>
      <c r="D87" s="70">
        <v>45624</v>
      </c>
      <c r="E87" s="69"/>
      <c r="G87"/>
      <c r="J87"/>
    </row>
    <row r="88" spans="1:10" ht="15.6" x14ac:dyDescent="0.3">
      <c r="A88" s="65" t="s">
        <v>451</v>
      </c>
      <c r="B88" s="65" t="s">
        <v>445</v>
      </c>
      <c r="C88" s="68">
        <v>37400</v>
      </c>
      <c r="D88" s="70">
        <v>45598</v>
      </c>
      <c r="E88" s="69"/>
      <c r="G88"/>
      <c r="J88"/>
    </row>
    <row r="89" spans="1:10" ht="15.6" x14ac:dyDescent="0.3">
      <c r="A89" s="65" t="s">
        <v>447</v>
      </c>
      <c r="B89" s="65" t="s">
        <v>448</v>
      </c>
      <c r="C89" s="68">
        <v>19152</v>
      </c>
      <c r="D89" s="70">
        <v>45681</v>
      </c>
      <c r="E89" s="69"/>
      <c r="G89"/>
      <c r="J89"/>
    </row>
    <row r="90" spans="1:10" ht="15.6" x14ac:dyDescent="0.3">
      <c r="A90" s="65" t="s">
        <v>447</v>
      </c>
      <c r="B90" s="65" t="s">
        <v>63</v>
      </c>
      <c r="C90" s="68">
        <v>76076</v>
      </c>
      <c r="D90" s="70">
        <v>45777</v>
      </c>
      <c r="E90" s="69"/>
      <c r="G90"/>
      <c r="J90"/>
    </row>
    <row r="91" spans="1:10" ht="15.6" x14ac:dyDescent="0.3">
      <c r="A91" s="65" t="s">
        <v>451</v>
      </c>
      <c r="B91" s="65" t="s">
        <v>454</v>
      </c>
      <c r="C91" s="68">
        <v>49810</v>
      </c>
      <c r="D91" s="70">
        <v>45545</v>
      </c>
      <c r="E91" s="69"/>
      <c r="G91"/>
      <c r="J91"/>
    </row>
    <row r="92" spans="1:10" ht="15.6" x14ac:dyDescent="0.3">
      <c r="A92" s="65" t="s">
        <v>451</v>
      </c>
      <c r="B92" s="65" t="s">
        <v>63</v>
      </c>
      <c r="C92" s="68">
        <v>51490</v>
      </c>
      <c r="D92" s="70">
        <v>45740</v>
      </c>
      <c r="E92" s="69"/>
      <c r="G92"/>
      <c r="J92"/>
    </row>
    <row r="93" spans="1:10" ht="15.6" x14ac:dyDescent="0.3">
      <c r="A93" s="65" t="s">
        <v>176</v>
      </c>
      <c r="B93" s="65" t="s">
        <v>448</v>
      </c>
      <c r="C93" s="68">
        <v>12604</v>
      </c>
      <c r="D93" s="70">
        <v>45474</v>
      </c>
      <c r="E93" s="69"/>
      <c r="G93"/>
      <c r="J93"/>
    </row>
    <row r="94" spans="1:10" ht="15.6" x14ac:dyDescent="0.3">
      <c r="A94" s="65" t="s">
        <v>453</v>
      </c>
      <c r="B94" s="65" t="s">
        <v>448</v>
      </c>
      <c r="C94" s="68">
        <v>23385</v>
      </c>
      <c r="D94" s="70">
        <v>45642</v>
      </c>
      <c r="E94" s="69"/>
      <c r="G94"/>
      <c r="J94"/>
    </row>
    <row r="95" spans="1:10" ht="15.6" x14ac:dyDescent="0.3">
      <c r="A95" s="65" t="s">
        <v>176</v>
      </c>
      <c r="B95" s="65" t="s">
        <v>448</v>
      </c>
      <c r="C95" s="68">
        <v>54440</v>
      </c>
      <c r="D95" s="70">
        <v>45564</v>
      </c>
      <c r="E95" s="69"/>
      <c r="G95"/>
      <c r="J95"/>
    </row>
    <row r="96" spans="1:10" ht="15.6" x14ac:dyDescent="0.3">
      <c r="A96" s="65" t="s">
        <v>451</v>
      </c>
      <c r="B96" s="65" t="s">
        <v>448</v>
      </c>
      <c r="C96" s="68">
        <v>36210</v>
      </c>
      <c r="D96" s="70">
        <v>45675</v>
      </c>
      <c r="E96" s="69"/>
      <c r="G96"/>
      <c r="J96"/>
    </row>
    <row r="97" spans="1:10" ht="15.6" x14ac:dyDescent="0.3">
      <c r="A97" s="65" t="s">
        <v>449</v>
      </c>
      <c r="B97" s="65" t="s">
        <v>445</v>
      </c>
      <c r="C97" s="68">
        <v>99201</v>
      </c>
      <c r="D97" s="70">
        <v>45606</v>
      </c>
      <c r="E97" s="69"/>
      <c r="G97"/>
      <c r="J97"/>
    </row>
    <row r="98" spans="1:10" ht="15.6" x14ac:dyDescent="0.3">
      <c r="A98" s="65" t="s">
        <v>453</v>
      </c>
      <c r="B98" s="65" t="s">
        <v>454</v>
      </c>
      <c r="C98" s="68">
        <v>11676</v>
      </c>
      <c r="D98" s="70">
        <v>45627</v>
      </c>
      <c r="E98" s="69"/>
      <c r="G98"/>
      <c r="J98"/>
    </row>
    <row r="99" spans="1:10" ht="15.6" x14ac:dyDescent="0.3">
      <c r="A99" s="65" t="s">
        <v>176</v>
      </c>
      <c r="B99" s="65" t="s">
        <v>63</v>
      </c>
      <c r="C99" s="68">
        <v>27261</v>
      </c>
      <c r="D99" s="70">
        <v>45532</v>
      </c>
      <c r="E99" s="69"/>
      <c r="G99"/>
      <c r="J99"/>
    </row>
    <row r="100" spans="1:10" ht="15.6" x14ac:dyDescent="0.3">
      <c r="A100" s="65" t="s">
        <v>453</v>
      </c>
      <c r="B100" s="65" t="s">
        <v>63</v>
      </c>
      <c r="C100" s="68">
        <v>14008</v>
      </c>
      <c r="D100" s="70">
        <v>45627</v>
      </c>
      <c r="E100" s="69"/>
      <c r="G100"/>
      <c r="J100"/>
    </row>
    <row r="101" spans="1:10" ht="15.6" x14ac:dyDescent="0.3">
      <c r="A101" s="65" t="s">
        <v>446</v>
      </c>
      <c r="B101" s="65" t="s">
        <v>452</v>
      </c>
      <c r="C101" s="68">
        <v>58800</v>
      </c>
      <c r="D101" s="70">
        <v>45447</v>
      </c>
      <c r="E101" s="69"/>
      <c r="G101"/>
      <c r="J101"/>
    </row>
    <row r="102" spans="1:10" ht="15.6" x14ac:dyDescent="0.3">
      <c r="A102" s="65" t="s">
        <v>446</v>
      </c>
      <c r="B102" s="65" t="s">
        <v>63</v>
      </c>
      <c r="C102" s="68">
        <v>70700</v>
      </c>
      <c r="D102" s="70">
        <v>45489</v>
      </c>
      <c r="E102" s="69"/>
      <c r="G102"/>
      <c r="J102"/>
    </row>
    <row r="103" spans="1:10" ht="15.6" x14ac:dyDescent="0.3">
      <c r="A103" s="65" t="s">
        <v>449</v>
      </c>
      <c r="B103" s="65" t="s">
        <v>452</v>
      </c>
      <c r="C103" s="68">
        <v>21952</v>
      </c>
      <c r="D103" s="70">
        <v>45519</v>
      </c>
      <c r="E103" s="69"/>
      <c r="G103"/>
      <c r="J103"/>
    </row>
    <row r="104" spans="1:10" ht="15.6" x14ac:dyDescent="0.3">
      <c r="A104" s="65" t="s">
        <v>170</v>
      </c>
      <c r="B104" s="65" t="s">
        <v>445</v>
      </c>
      <c r="C104" s="68">
        <v>53063</v>
      </c>
      <c r="D104" s="70">
        <v>45808</v>
      </c>
      <c r="E104" s="69"/>
      <c r="G104"/>
      <c r="J104"/>
    </row>
    <row r="105" spans="1:10" ht="15.6" x14ac:dyDescent="0.3">
      <c r="A105" s="65" t="s">
        <v>169</v>
      </c>
      <c r="B105" s="65" t="s">
        <v>448</v>
      </c>
      <c r="C105" s="68">
        <v>53376</v>
      </c>
      <c r="D105" s="70">
        <v>45545</v>
      </c>
      <c r="E105" s="69"/>
      <c r="G105"/>
      <c r="J105"/>
    </row>
    <row r="106" spans="1:10" ht="15.6" x14ac:dyDescent="0.3">
      <c r="A106" s="65" t="s">
        <v>176</v>
      </c>
      <c r="B106" s="65" t="s">
        <v>454</v>
      </c>
      <c r="C106" s="68">
        <v>5956</v>
      </c>
      <c r="D106" s="70">
        <v>45496</v>
      </c>
      <c r="E106" s="69"/>
      <c r="G106"/>
      <c r="J106"/>
    </row>
    <row r="107" spans="1:10" ht="15.6" x14ac:dyDescent="0.3">
      <c r="A107" s="65" t="s">
        <v>453</v>
      </c>
      <c r="B107" s="65" t="s">
        <v>61</v>
      </c>
      <c r="C107" s="68">
        <v>14520</v>
      </c>
      <c r="D107" s="70">
        <v>45752</v>
      </c>
      <c r="E107" s="69"/>
      <c r="G107"/>
      <c r="J107"/>
    </row>
    <row r="108" spans="1:10" ht="15.6" x14ac:dyDescent="0.3">
      <c r="A108" s="65" t="s">
        <v>453</v>
      </c>
      <c r="B108" s="65" t="s">
        <v>171</v>
      </c>
      <c r="C108" s="68">
        <v>45543</v>
      </c>
      <c r="D108" s="70">
        <v>45549</v>
      </c>
      <c r="E108" s="69"/>
      <c r="G108"/>
      <c r="J108"/>
    </row>
    <row r="109" spans="1:10" ht="15.6" x14ac:dyDescent="0.3">
      <c r="A109" s="65" t="s">
        <v>447</v>
      </c>
      <c r="B109" s="65" t="s">
        <v>63</v>
      </c>
      <c r="C109" s="68">
        <v>7470</v>
      </c>
      <c r="D109" s="70">
        <v>45670</v>
      </c>
      <c r="E109" s="69"/>
      <c r="G109"/>
      <c r="J109"/>
    </row>
    <row r="110" spans="1:10" ht="15.6" x14ac:dyDescent="0.3">
      <c r="A110" s="65" t="s">
        <v>169</v>
      </c>
      <c r="B110" s="65" t="s">
        <v>63</v>
      </c>
      <c r="C110" s="68">
        <v>4938</v>
      </c>
      <c r="D110" s="70">
        <v>45790</v>
      </c>
      <c r="E110" s="69"/>
      <c r="G110"/>
      <c r="J110"/>
    </row>
    <row r="111" spans="1:10" ht="15.6" x14ac:dyDescent="0.3">
      <c r="A111" s="65" t="s">
        <v>179</v>
      </c>
      <c r="B111" s="65" t="s">
        <v>61</v>
      </c>
      <c r="C111" s="68">
        <v>41620</v>
      </c>
      <c r="D111" s="70">
        <v>45778</v>
      </c>
      <c r="E111" s="69"/>
      <c r="G111"/>
      <c r="J111"/>
    </row>
    <row r="112" spans="1:10" ht="15.6" x14ac:dyDescent="0.3">
      <c r="A112" s="65" t="s">
        <v>453</v>
      </c>
      <c r="B112" s="65" t="s">
        <v>448</v>
      </c>
      <c r="C112" s="68">
        <v>90368</v>
      </c>
      <c r="D112" s="70">
        <v>45624</v>
      </c>
      <c r="E112" s="69"/>
      <c r="G112"/>
      <c r="J112"/>
    </row>
    <row r="113" spans="1:10" ht="15.6" x14ac:dyDescent="0.3">
      <c r="A113" s="65" t="s">
        <v>453</v>
      </c>
      <c r="B113" s="65" t="s">
        <v>61</v>
      </c>
      <c r="C113" s="68">
        <v>13065</v>
      </c>
      <c r="D113" s="70">
        <v>45606</v>
      </c>
      <c r="E113" s="69"/>
      <c r="G113"/>
      <c r="J113"/>
    </row>
    <row r="114" spans="1:10" ht="15.6" x14ac:dyDescent="0.3">
      <c r="A114" s="65" t="s">
        <v>449</v>
      </c>
      <c r="B114" s="65" t="s">
        <v>171</v>
      </c>
      <c r="C114" s="68">
        <v>104640</v>
      </c>
      <c r="D114" s="70">
        <v>45539</v>
      </c>
      <c r="E114" s="69"/>
      <c r="G114"/>
      <c r="J114"/>
    </row>
    <row r="115" spans="1:10" ht="15.6" x14ac:dyDescent="0.3">
      <c r="A115" s="65" t="s">
        <v>169</v>
      </c>
      <c r="B115" s="65" t="s">
        <v>452</v>
      </c>
      <c r="C115" s="68">
        <v>51900</v>
      </c>
      <c r="D115" s="70">
        <v>45746</v>
      </c>
      <c r="E115" s="69"/>
      <c r="G115"/>
      <c r="J115"/>
    </row>
    <row r="116" spans="1:10" ht="15.6" x14ac:dyDescent="0.3">
      <c r="A116" s="65" t="s">
        <v>179</v>
      </c>
      <c r="B116" s="65" t="s">
        <v>452</v>
      </c>
      <c r="C116" s="68">
        <v>5520</v>
      </c>
      <c r="D116" s="70">
        <v>45730</v>
      </c>
      <c r="E116" s="69"/>
      <c r="G116"/>
      <c r="J116"/>
    </row>
    <row r="117" spans="1:10" ht="15.6" x14ac:dyDescent="0.3">
      <c r="A117" s="65" t="s">
        <v>170</v>
      </c>
      <c r="B117" s="65" t="s">
        <v>61</v>
      </c>
      <c r="C117" s="68">
        <v>29270</v>
      </c>
      <c r="D117" s="70">
        <v>45565</v>
      </c>
      <c r="E117" s="69"/>
      <c r="G117"/>
      <c r="J117"/>
    </row>
    <row r="118" spans="1:10" ht="15.6" x14ac:dyDescent="0.3">
      <c r="A118" s="65" t="s">
        <v>447</v>
      </c>
      <c r="B118" s="65" t="s">
        <v>445</v>
      </c>
      <c r="C118" s="68">
        <v>82278</v>
      </c>
      <c r="D118" s="70">
        <v>45717</v>
      </c>
      <c r="E118" s="69"/>
      <c r="G118"/>
      <c r="J118"/>
    </row>
    <row r="119" spans="1:10" ht="15.6" x14ac:dyDescent="0.3">
      <c r="A119" s="65" t="s">
        <v>450</v>
      </c>
      <c r="B119" s="65" t="s">
        <v>452</v>
      </c>
      <c r="C119" s="68">
        <v>40008</v>
      </c>
      <c r="D119" s="70">
        <v>45471</v>
      </c>
      <c r="E119" s="69"/>
      <c r="G119"/>
      <c r="J119"/>
    </row>
    <row r="120" spans="1:10" ht="15.6" x14ac:dyDescent="0.3">
      <c r="A120" s="65" t="s">
        <v>449</v>
      </c>
      <c r="B120" s="65" t="s">
        <v>63</v>
      </c>
      <c r="C120" s="68">
        <v>60858</v>
      </c>
      <c r="D120" s="70">
        <v>45463</v>
      </c>
      <c r="E120" s="69"/>
      <c r="G120"/>
      <c r="J120"/>
    </row>
    <row r="121" spans="1:10" ht="15.6" x14ac:dyDescent="0.3">
      <c r="A121" s="65" t="s">
        <v>169</v>
      </c>
      <c r="B121" s="65" t="s">
        <v>171</v>
      </c>
      <c r="C121" s="68">
        <v>30404</v>
      </c>
      <c r="D121" s="70">
        <v>45535</v>
      </c>
      <c r="E121" s="69"/>
      <c r="G121"/>
      <c r="J121"/>
    </row>
    <row r="122" spans="1:10" ht="15.6" x14ac:dyDescent="0.3">
      <c r="A122" s="65" t="s">
        <v>170</v>
      </c>
      <c r="B122" s="65" t="s">
        <v>61</v>
      </c>
      <c r="C122" s="68">
        <v>18200</v>
      </c>
      <c r="D122" s="70">
        <v>45807</v>
      </c>
      <c r="E122" s="69"/>
      <c r="G122"/>
      <c r="J122"/>
    </row>
    <row r="123" spans="1:10" ht="15.6" x14ac:dyDescent="0.3">
      <c r="A123" s="65" t="s">
        <v>449</v>
      </c>
      <c r="B123" s="65" t="s">
        <v>63</v>
      </c>
      <c r="C123" s="68">
        <v>30382</v>
      </c>
      <c r="D123" s="70">
        <v>45634</v>
      </c>
      <c r="E123" s="69"/>
      <c r="G123"/>
      <c r="J123"/>
    </row>
    <row r="124" spans="1:10" ht="15.6" x14ac:dyDescent="0.3">
      <c r="A124" s="65" t="s">
        <v>450</v>
      </c>
      <c r="B124" s="65" t="s">
        <v>454</v>
      </c>
      <c r="C124" s="68">
        <v>9926</v>
      </c>
      <c r="D124" s="70">
        <v>45580</v>
      </c>
      <c r="E124" s="69"/>
      <c r="G124"/>
      <c r="J124"/>
    </row>
    <row r="125" spans="1:10" ht="15.6" x14ac:dyDescent="0.3">
      <c r="A125" s="65" t="s">
        <v>447</v>
      </c>
      <c r="B125" s="65" t="s">
        <v>452</v>
      </c>
      <c r="C125" s="68">
        <v>13992</v>
      </c>
      <c r="D125" s="70">
        <v>45463</v>
      </c>
      <c r="E125" s="69"/>
      <c r="G125"/>
      <c r="J125"/>
    </row>
    <row r="126" spans="1:10" ht="15.6" x14ac:dyDescent="0.3">
      <c r="A126" s="65" t="s">
        <v>451</v>
      </c>
      <c r="B126" s="65" t="s">
        <v>63</v>
      </c>
      <c r="C126" s="68">
        <v>14872</v>
      </c>
      <c r="D126" s="70">
        <v>45607</v>
      </c>
      <c r="E126" s="69"/>
      <c r="G126"/>
      <c r="J126"/>
    </row>
    <row r="127" spans="1:10" ht="15.6" x14ac:dyDescent="0.3">
      <c r="A127" s="65" t="s">
        <v>450</v>
      </c>
      <c r="B127" s="65" t="s">
        <v>61</v>
      </c>
      <c r="C127" s="68">
        <v>3235</v>
      </c>
      <c r="D127" s="70">
        <v>45506</v>
      </c>
      <c r="E127" s="69"/>
      <c r="G127"/>
      <c r="J127"/>
    </row>
    <row r="128" spans="1:10" ht="15.6" x14ac:dyDescent="0.3">
      <c r="A128" s="65" t="s">
        <v>453</v>
      </c>
      <c r="B128" s="65" t="s">
        <v>445</v>
      </c>
      <c r="C128" s="68">
        <v>4712</v>
      </c>
      <c r="D128" s="70">
        <v>45476</v>
      </c>
      <c r="E128" s="69"/>
      <c r="G128"/>
      <c r="J128"/>
    </row>
    <row r="129" spans="1:10" ht="15.6" x14ac:dyDescent="0.3">
      <c r="A129" s="65" t="s">
        <v>170</v>
      </c>
      <c r="B129" s="65" t="s">
        <v>448</v>
      </c>
      <c r="C129" s="68">
        <v>56394</v>
      </c>
      <c r="D129" s="70">
        <v>45538</v>
      </c>
      <c r="E129" s="69"/>
      <c r="G129"/>
      <c r="J129"/>
    </row>
    <row r="130" spans="1:10" ht="15.6" x14ac:dyDescent="0.3">
      <c r="A130" s="65" t="s">
        <v>450</v>
      </c>
      <c r="B130" s="65" t="s">
        <v>61</v>
      </c>
      <c r="C130" s="68">
        <v>20438</v>
      </c>
      <c r="D130" s="70">
        <v>45522</v>
      </c>
      <c r="E130" s="69"/>
      <c r="G130"/>
      <c r="J130"/>
    </row>
    <row r="131" spans="1:10" ht="15.6" x14ac:dyDescent="0.3">
      <c r="A131" s="65" t="s">
        <v>446</v>
      </c>
      <c r="B131" s="65" t="s">
        <v>448</v>
      </c>
      <c r="C131" s="68">
        <v>45820</v>
      </c>
      <c r="D131" s="70">
        <v>45613</v>
      </c>
      <c r="E131" s="69"/>
      <c r="G131"/>
      <c r="J131"/>
    </row>
    <row r="132" spans="1:10" ht="15.6" x14ac:dyDescent="0.3">
      <c r="A132" s="65" t="s">
        <v>170</v>
      </c>
      <c r="B132" s="65" t="s">
        <v>445</v>
      </c>
      <c r="C132" s="68">
        <v>105370</v>
      </c>
      <c r="D132" s="70">
        <v>45571</v>
      </c>
      <c r="E132" s="69"/>
      <c r="G132"/>
      <c r="J132"/>
    </row>
    <row r="133" spans="1:10" ht="15.6" x14ac:dyDescent="0.3">
      <c r="A133" s="65" t="s">
        <v>447</v>
      </c>
      <c r="B133" s="65" t="s">
        <v>448</v>
      </c>
      <c r="C133" s="68">
        <v>19040</v>
      </c>
      <c r="D133" s="70">
        <v>45799</v>
      </c>
      <c r="E133" s="69"/>
      <c r="G133"/>
      <c r="J133"/>
    </row>
    <row r="134" spans="1:10" ht="15.6" x14ac:dyDescent="0.3">
      <c r="A134" s="65" t="s">
        <v>169</v>
      </c>
      <c r="B134" s="65" t="s">
        <v>61</v>
      </c>
      <c r="C134" s="68">
        <v>12843</v>
      </c>
      <c r="D134" s="70">
        <v>45632</v>
      </c>
      <c r="E134" s="69"/>
      <c r="G134"/>
      <c r="J134"/>
    </row>
    <row r="135" spans="1:10" ht="15.6" x14ac:dyDescent="0.3">
      <c r="A135" s="65" t="s">
        <v>176</v>
      </c>
      <c r="B135" s="65" t="s">
        <v>448</v>
      </c>
      <c r="C135" s="68">
        <v>128925</v>
      </c>
      <c r="D135" s="70">
        <v>45445</v>
      </c>
      <c r="E135" s="69"/>
      <c r="G135"/>
      <c r="J135"/>
    </row>
    <row r="136" spans="1:10" ht="15.6" x14ac:dyDescent="0.3">
      <c r="A136" s="65" t="s">
        <v>170</v>
      </c>
      <c r="B136" s="65" t="s">
        <v>63</v>
      </c>
      <c r="C136" s="68">
        <v>68390</v>
      </c>
      <c r="D136" s="70">
        <v>45744</v>
      </c>
      <c r="E136" s="69"/>
      <c r="G136"/>
      <c r="J136"/>
    </row>
    <row r="137" spans="1:10" ht="15.6" x14ac:dyDescent="0.3">
      <c r="A137" s="65" t="s">
        <v>447</v>
      </c>
      <c r="B137" s="65" t="s">
        <v>171</v>
      </c>
      <c r="C137" s="68">
        <v>57408</v>
      </c>
      <c r="D137" s="70">
        <v>45508</v>
      </c>
      <c r="E137" s="69"/>
      <c r="G137"/>
      <c r="J137"/>
    </row>
    <row r="138" spans="1:10" ht="15.6" x14ac:dyDescent="0.3">
      <c r="A138" s="65" t="s">
        <v>170</v>
      </c>
      <c r="B138" s="65" t="s">
        <v>63</v>
      </c>
      <c r="C138" s="68">
        <v>10435</v>
      </c>
      <c r="D138" s="70">
        <v>45713</v>
      </c>
      <c r="E138" s="69"/>
      <c r="G138"/>
      <c r="J138"/>
    </row>
    <row r="139" spans="1:10" ht="15.6" x14ac:dyDescent="0.3">
      <c r="A139" s="65" t="s">
        <v>453</v>
      </c>
      <c r="B139" s="65" t="s">
        <v>452</v>
      </c>
      <c r="C139" s="68">
        <v>14224</v>
      </c>
      <c r="D139" s="70">
        <v>45483</v>
      </c>
      <c r="E139" s="69"/>
      <c r="G139"/>
      <c r="J139"/>
    </row>
    <row r="140" spans="1:10" ht="15.6" x14ac:dyDescent="0.3">
      <c r="A140" s="65" t="s">
        <v>170</v>
      </c>
      <c r="B140" s="65" t="s">
        <v>61</v>
      </c>
      <c r="C140" s="68">
        <v>42570</v>
      </c>
      <c r="D140" s="70">
        <v>45724</v>
      </c>
      <c r="E140" s="69"/>
      <c r="G140"/>
      <c r="J140"/>
    </row>
    <row r="141" spans="1:10" ht="15.6" x14ac:dyDescent="0.3">
      <c r="A141" s="65" t="s">
        <v>450</v>
      </c>
      <c r="B141" s="65" t="s">
        <v>61</v>
      </c>
      <c r="C141" s="68">
        <v>94005</v>
      </c>
      <c r="D141" s="70">
        <v>45676</v>
      </c>
      <c r="E141" s="69"/>
      <c r="G141"/>
      <c r="J141"/>
    </row>
    <row r="142" spans="1:10" ht="15.6" x14ac:dyDescent="0.3">
      <c r="A142" s="65" t="s">
        <v>446</v>
      </c>
      <c r="B142" s="65" t="s">
        <v>63</v>
      </c>
      <c r="C142" s="68">
        <v>40795</v>
      </c>
      <c r="D142" s="70">
        <v>45555</v>
      </c>
      <c r="E142" s="69"/>
      <c r="G142"/>
      <c r="J142"/>
    </row>
    <row r="143" spans="1:10" ht="15.6" x14ac:dyDescent="0.3">
      <c r="A143" s="65" t="s">
        <v>447</v>
      </c>
      <c r="B143" s="65" t="s">
        <v>454</v>
      </c>
      <c r="C143" s="68">
        <v>125195</v>
      </c>
      <c r="D143" s="70">
        <v>45552</v>
      </c>
      <c r="E143" s="69"/>
      <c r="G143"/>
      <c r="J143"/>
    </row>
    <row r="144" spans="1:10" ht="15.6" x14ac:dyDescent="0.3">
      <c r="A144" s="65" t="s">
        <v>449</v>
      </c>
      <c r="B144" s="65" t="s">
        <v>61</v>
      </c>
      <c r="C144" s="68">
        <v>8253</v>
      </c>
      <c r="D144" s="70">
        <v>45582</v>
      </c>
      <c r="E144" s="69"/>
      <c r="G144"/>
      <c r="J144"/>
    </row>
    <row r="145" spans="1:10" ht="15.6" x14ac:dyDescent="0.3">
      <c r="A145" s="65" t="s">
        <v>447</v>
      </c>
      <c r="B145" s="65" t="s">
        <v>454</v>
      </c>
      <c r="C145" s="68">
        <v>105526</v>
      </c>
      <c r="D145" s="70">
        <v>45611</v>
      </c>
      <c r="E145" s="69"/>
      <c r="G145"/>
      <c r="J145"/>
    </row>
    <row r="146" spans="1:10" ht="15.6" x14ac:dyDescent="0.3">
      <c r="A146" s="65" t="s">
        <v>453</v>
      </c>
      <c r="B146" s="65" t="s">
        <v>63</v>
      </c>
      <c r="C146" s="68">
        <v>16896</v>
      </c>
      <c r="D146" s="70">
        <v>45716</v>
      </c>
      <c r="E146" s="69"/>
      <c r="G146"/>
      <c r="J146"/>
    </row>
    <row r="147" spans="1:10" ht="15.6" x14ac:dyDescent="0.3">
      <c r="A147" s="65" t="s">
        <v>450</v>
      </c>
      <c r="B147" s="65" t="s">
        <v>61</v>
      </c>
      <c r="C147" s="68">
        <v>26690</v>
      </c>
      <c r="D147" s="70">
        <v>45541</v>
      </c>
      <c r="E147" s="69"/>
      <c r="G147"/>
      <c r="J147"/>
    </row>
    <row r="148" spans="1:10" ht="15.6" x14ac:dyDescent="0.3">
      <c r="A148" s="65" t="s">
        <v>446</v>
      </c>
      <c r="B148" s="65" t="s">
        <v>454</v>
      </c>
      <c r="C148" s="68">
        <v>3440</v>
      </c>
      <c r="D148" s="70">
        <v>45531</v>
      </c>
      <c r="E148" s="69"/>
      <c r="G148"/>
      <c r="J148"/>
    </row>
    <row r="149" spans="1:10" ht="15.6" x14ac:dyDescent="0.3">
      <c r="A149" s="65" t="s">
        <v>451</v>
      </c>
      <c r="B149" s="65" t="s">
        <v>63</v>
      </c>
      <c r="C149" s="68">
        <v>35048</v>
      </c>
      <c r="D149" s="70">
        <v>45786</v>
      </c>
      <c r="E149" s="69"/>
      <c r="G149"/>
      <c r="J149"/>
    </row>
    <row r="150" spans="1:10" ht="15.6" x14ac:dyDescent="0.3">
      <c r="A150" s="65" t="s">
        <v>447</v>
      </c>
      <c r="B150" s="65" t="s">
        <v>445</v>
      </c>
      <c r="C150" s="68">
        <v>86760</v>
      </c>
      <c r="D150" s="70">
        <v>45453</v>
      </c>
      <c r="E150" s="69"/>
      <c r="G150"/>
      <c r="J150"/>
    </row>
    <row r="151" spans="1:10" ht="15.6" x14ac:dyDescent="0.3">
      <c r="A151" s="65" t="s">
        <v>170</v>
      </c>
      <c r="B151" s="65" t="s">
        <v>171</v>
      </c>
      <c r="C151" s="68">
        <v>7146</v>
      </c>
      <c r="D151" s="70">
        <v>45500</v>
      </c>
      <c r="E151" s="69"/>
      <c r="G151"/>
      <c r="J151"/>
    </row>
    <row r="152" spans="1:10" ht="15.6" x14ac:dyDescent="0.3">
      <c r="A152" s="65" t="s">
        <v>179</v>
      </c>
      <c r="B152" s="65" t="s">
        <v>448</v>
      </c>
      <c r="C152" s="68">
        <v>29376</v>
      </c>
      <c r="D152" s="70">
        <v>45479</v>
      </c>
      <c r="E152" s="69"/>
      <c r="G152"/>
      <c r="J152"/>
    </row>
    <row r="153" spans="1:10" ht="15.6" x14ac:dyDescent="0.3">
      <c r="A153" s="65" t="s">
        <v>169</v>
      </c>
      <c r="B153" s="65" t="s">
        <v>452</v>
      </c>
      <c r="C153" s="68">
        <v>20356</v>
      </c>
      <c r="D153" s="70">
        <v>45673</v>
      </c>
      <c r="E153" s="69"/>
      <c r="G153"/>
      <c r="J153"/>
    </row>
    <row r="154" spans="1:10" ht="15.6" x14ac:dyDescent="0.3">
      <c r="A154" s="65" t="s">
        <v>179</v>
      </c>
      <c r="B154" s="65" t="s">
        <v>61</v>
      </c>
      <c r="C154" s="68">
        <v>32076</v>
      </c>
      <c r="D154" s="70">
        <v>45456</v>
      </c>
      <c r="E154" s="69"/>
      <c r="G154"/>
      <c r="J154"/>
    </row>
    <row r="155" spans="1:10" ht="15.6" x14ac:dyDescent="0.3">
      <c r="A155" s="65" t="s">
        <v>451</v>
      </c>
      <c r="B155" s="65" t="s">
        <v>63</v>
      </c>
      <c r="C155" s="68">
        <v>17226</v>
      </c>
      <c r="D155" s="70">
        <v>45598</v>
      </c>
      <c r="E155" s="69"/>
      <c r="G155"/>
      <c r="J155"/>
    </row>
    <row r="156" spans="1:10" ht="15.6" x14ac:dyDescent="0.3">
      <c r="A156" s="65" t="s">
        <v>451</v>
      </c>
      <c r="B156" s="65" t="s">
        <v>452</v>
      </c>
      <c r="C156" s="68">
        <v>14938</v>
      </c>
      <c r="D156" s="70">
        <v>45508</v>
      </c>
      <c r="E156" s="69"/>
      <c r="G156"/>
      <c r="J156"/>
    </row>
    <row r="157" spans="1:10" ht="15.6" x14ac:dyDescent="0.3">
      <c r="A157" s="65" t="s">
        <v>169</v>
      </c>
      <c r="B157" s="65" t="s">
        <v>445</v>
      </c>
      <c r="C157" s="68">
        <v>117216</v>
      </c>
      <c r="D157" s="70">
        <v>45637</v>
      </c>
      <c r="E157" s="69"/>
      <c r="G157"/>
      <c r="J157"/>
    </row>
    <row r="158" spans="1:10" ht="15.6" x14ac:dyDescent="0.3">
      <c r="A158" s="65" t="s">
        <v>453</v>
      </c>
      <c r="B158" s="65" t="s">
        <v>448</v>
      </c>
      <c r="C158" s="68">
        <v>4745</v>
      </c>
      <c r="D158" s="70">
        <v>45477</v>
      </c>
      <c r="E158" s="69"/>
      <c r="G158"/>
      <c r="J158"/>
    </row>
    <row r="159" spans="1:10" ht="15.6" x14ac:dyDescent="0.3">
      <c r="A159" s="65" t="s">
        <v>450</v>
      </c>
      <c r="B159" s="65" t="s">
        <v>454</v>
      </c>
      <c r="C159" s="68">
        <v>89100</v>
      </c>
      <c r="D159" s="70">
        <v>45499</v>
      </c>
      <c r="E159" s="69"/>
      <c r="G159"/>
      <c r="J159"/>
    </row>
    <row r="160" spans="1:10" ht="15.6" x14ac:dyDescent="0.3">
      <c r="A160" s="65" t="s">
        <v>446</v>
      </c>
      <c r="B160" s="65" t="s">
        <v>454</v>
      </c>
      <c r="C160" s="68">
        <v>69384</v>
      </c>
      <c r="D160" s="70">
        <v>45547</v>
      </c>
      <c r="E160" s="69"/>
      <c r="G160"/>
      <c r="J160"/>
    </row>
    <row r="161" spans="1:10" ht="15.6" x14ac:dyDescent="0.3">
      <c r="A161" s="65" t="s">
        <v>450</v>
      </c>
      <c r="B161" s="65" t="s">
        <v>454</v>
      </c>
      <c r="C161" s="68">
        <v>22984</v>
      </c>
      <c r="D161" s="70">
        <v>45596</v>
      </c>
      <c r="E161" s="69"/>
      <c r="G161"/>
      <c r="J161"/>
    </row>
    <row r="162" spans="1:10" ht="15.6" x14ac:dyDescent="0.3">
      <c r="A162" s="65" t="s">
        <v>169</v>
      </c>
      <c r="B162" s="65" t="s">
        <v>454</v>
      </c>
      <c r="C162" s="68">
        <v>7458</v>
      </c>
      <c r="D162" s="70">
        <v>45615</v>
      </c>
      <c r="E162" s="69"/>
      <c r="G162"/>
      <c r="J162"/>
    </row>
    <row r="163" spans="1:10" ht="15.6" x14ac:dyDescent="0.3">
      <c r="A163" s="65" t="s">
        <v>446</v>
      </c>
      <c r="B163" s="65" t="s">
        <v>63</v>
      </c>
      <c r="C163" s="68">
        <v>11788</v>
      </c>
      <c r="D163" s="70">
        <v>45615</v>
      </c>
      <c r="E163" s="69"/>
      <c r="G163"/>
      <c r="J163"/>
    </row>
    <row r="164" spans="1:10" ht="15.6" x14ac:dyDescent="0.3">
      <c r="A164" s="65" t="s">
        <v>447</v>
      </c>
      <c r="B164" s="65" t="s">
        <v>445</v>
      </c>
      <c r="C164" s="68">
        <v>28440</v>
      </c>
      <c r="D164" s="70">
        <v>45726</v>
      </c>
      <c r="E164" s="69"/>
      <c r="G164"/>
      <c r="J164"/>
    </row>
    <row r="165" spans="1:10" ht="15.6" x14ac:dyDescent="0.3">
      <c r="A165" s="65" t="s">
        <v>179</v>
      </c>
      <c r="B165" s="65" t="s">
        <v>171</v>
      </c>
      <c r="C165" s="68">
        <v>19460</v>
      </c>
      <c r="D165" s="70">
        <v>45730</v>
      </c>
      <c r="E165" s="69"/>
      <c r="G165"/>
      <c r="J165"/>
    </row>
    <row r="166" spans="1:10" ht="15.6" x14ac:dyDescent="0.3">
      <c r="A166" s="65" t="s">
        <v>446</v>
      </c>
      <c r="B166" s="65" t="s">
        <v>454</v>
      </c>
      <c r="C166" s="68">
        <v>17508</v>
      </c>
      <c r="D166" s="70">
        <v>45567</v>
      </c>
      <c r="E166" s="69"/>
      <c r="G166"/>
      <c r="J166"/>
    </row>
    <row r="167" spans="1:10" ht="15.6" x14ac:dyDescent="0.3">
      <c r="A167" s="65" t="s">
        <v>446</v>
      </c>
      <c r="B167" s="65" t="s">
        <v>61</v>
      </c>
      <c r="C167" s="68">
        <v>81244</v>
      </c>
      <c r="D167" s="70">
        <v>45539</v>
      </c>
      <c r="E167" s="69"/>
      <c r="G167"/>
      <c r="J167"/>
    </row>
    <row r="168" spans="1:10" ht="15.6" x14ac:dyDescent="0.3">
      <c r="A168" s="65" t="s">
        <v>451</v>
      </c>
      <c r="B168" s="65" t="s">
        <v>61</v>
      </c>
      <c r="C168" s="68">
        <v>81026</v>
      </c>
      <c r="D168" s="70">
        <v>45569</v>
      </c>
      <c r="E168" s="69"/>
      <c r="G168"/>
      <c r="J168"/>
    </row>
    <row r="169" spans="1:10" ht="15.6" x14ac:dyDescent="0.3">
      <c r="A169" s="65" t="s">
        <v>451</v>
      </c>
      <c r="B169" s="65" t="s">
        <v>61</v>
      </c>
      <c r="C169" s="68">
        <v>3819</v>
      </c>
      <c r="D169" s="70">
        <v>45765</v>
      </c>
      <c r="E169" s="69"/>
      <c r="G169"/>
      <c r="J169"/>
    </row>
    <row r="170" spans="1:10" ht="15.6" x14ac:dyDescent="0.3">
      <c r="A170" s="65" t="s">
        <v>451</v>
      </c>
      <c r="B170" s="65" t="s">
        <v>445</v>
      </c>
      <c r="C170" s="68">
        <v>26038</v>
      </c>
      <c r="D170" s="70">
        <v>45666</v>
      </c>
      <c r="E170" s="69"/>
      <c r="G170"/>
      <c r="J170"/>
    </row>
    <row r="171" spans="1:10" ht="15.6" x14ac:dyDescent="0.3">
      <c r="A171" s="65" t="s">
        <v>450</v>
      </c>
      <c r="B171" s="65" t="s">
        <v>445</v>
      </c>
      <c r="C171" s="68">
        <v>19200</v>
      </c>
      <c r="D171" s="70">
        <v>45773</v>
      </c>
      <c r="E171" s="69"/>
      <c r="G171"/>
      <c r="J171"/>
    </row>
    <row r="172" spans="1:10" ht="15.6" x14ac:dyDescent="0.3">
      <c r="A172" s="65" t="s">
        <v>447</v>
      </c>
      <c r="B172" s="65" t="s">
        <v>171</v>
      </c>
      <c r="C172" s="68">
        <v>140160</v>
      </c>
      <c r="D172" s="70">
        <v>45581</v>
      </c>
      <c r="E172" s="69"/>
      <c r="G172"/>
      <c r="J172"/>
    </row>
    <row r="173" spans="1:10" ht="15.6" x14ac:dyDescent="0.3">
      <c r="A173" s="65" t="s">
        <v>170</v>
      </c>
      <c r="B173" s="65" t="s">
        <v>63</v>
      </c>
      <c r="C173" s="68">
        <v>24880</v>
      </c>
      <c r="D173" s="70">
        <v>45647</v>
      </c>
      <c r="E173" s="69"/>
      <c r="G173"/>
      <c r="J173"/>
    </row>
    <row r="174" spans="1:10" ht="15.6" x14ac:dyDescent="0.3">
      <c r="A174" s="65" t="s">
        <v>179</v>
      </c>
      <c r="B174" s="65" t="s">
        <v>448</v>
      </c>
      <c r="C174" s="68">
        <v>22209</v>
      </c>
      <c r="D174" s="70">
        <v>45721</v>
      </c>
      <c r="E174" s="69"/>
      <c r="G174"/>
      <c r="J174"/>
    </row>
    <row r="175" spans="1:10" ht="15.6" x14ac:dyDescent="0.3">
      <c r="A175" s="65" t="s">
        <v>451</v>
      </c>
      <c r="B175" s="65" t="s">
        <v>445</v>
      </c>
      <c r="C175" s="68">
        <v>27248</v>
      </c>
      <c r="D175" s="70">
        <v>45706</v>
      </c>
      <c r="E175" s="69"/>
      <c r="G175"/>
      <c r="J175"/>
    </row>
    <row r="176" spans="1:10" ht="15.6" x14ac:dyDescent="0.3">
      <c r="A176" s="65" t="s">
        <v>450</v>
      </c>
      <c r="B176" s="65" t="s">
        <v>454</v>
      </c>
      <c r="C176" s="68">
        <v>16471</v>
      </c>
      <c r="D176" s="70">
        <v>45449</v>
      </c>
      <c r="E176" s="69"/>
      <c r="G176"/>
      <c r="J176"/>
    </row>
    <row r="177" spans="1:10" ht="15.6" x14ac:dyDescent="0.3">
      <c r="A177" s="65" t="s">
        <v>451</v>
      </c>
      <c r="B177" s="65" t="s">
        <v>171</v>
      </c>
      <c r="C177" s="68">
        <v>22958</v>
      </c>
      <c r="D177" s="70">
        <v>45559</v>
      </c>
      <c r="E177" s="69"/>
      <c r="G177"/>
      <c r="J177"/>
    </row>
    <row r="178" spans="1:10" ht="15.6" x14ac:dyDescent="0.3">
      <c r="A178" s="65" t="s">
        <v>447</v>
      </c>
      <c r="B178" s="65" t="s">
        <v>61</v>
      </c>
      <c r="C178" s="68">
        <v>57905</v>
      </c>
      <c r="D178" s="70">
        <v>45489</v>
      </c>
      <c r="E178" s="69"/>
      <c r="G178"/>
      <c r="J178"/>
    </row>
    <row r="179" spans="1:10" ht="15.6" x14ac:dyDescent="0.3">
      <c r="A179" s="65" t="s">
        <v>446</v>
      </c>
      <c r="B179" s="65" t="s">
        <v>63</v>
      </c>
      <c r="C179" s="68">
        <v>51624</v>
      </c>
      <c r="D179" s="70">
        <v>45777</v>
      </c>
      <c r="E179" s="69"/>
      <c r="G179"/>
      <c r="J179"/>
    </row>
    <row r="180" spans="1:10" ht="15.6" x14ac:dyDescent="0.3">
      <c r="A180" s="65" t="s">
        <v>453</v>
      </c>
      <c r="B180" s="65" t="s">
        <v>63</v>
      </c>
      <c r="C180" s="68">
        <v>37275</v>
      </c>
      <c r="D180" s="70">
        <v>45752</v>
      </c>
      <c r="E180" s="69"/>
      <c r="G180"/>
      <c r="J180"/>
    </row>
    <row r="181" spans="1:10" ht="15.6" x14ac:dyDescent="0.3">
      <c r="A181" s="65" t="s">
        <v>453</v>
      </c>
      <c r="B181" s="65" t="s">
        <v>61</v>
      </c>
      <c r="C181" s="68">
        <v>11596</v>
      </c>
      <c r="D181" s="70">
        <v>45732</v>
      </c>
      <c r="E181" s="69"/>
      <c r="G181"/>
      <c r="J181"/>
    </row>
    <row r="182" spans="1:10" ht="15.6" x14ac:dyDescent="0.3">
      <c r="A182" s="65" t="s">
        <v>450</v>
      </c>
      <c r="B182" s="65" t="s">
        <v>448</v>
      </c>
      <c r="C182" s="68">
        <v>9246</v>
      </c>
      <c r="D182" s="70">
        <v>45502</v>
      </c>
      <c r="E182" s="69"/>
      <c r="G182"/>
      <c r="J182"/>
    </row>
    <row r="183" spans="1:10" ht="15.6" x14ac:dyDescent="0.3">
      <c r="A183" s="65" t="s">
        <v>446</v>
      </c>
      <c r="B183" s="65" t="s">
        <v>452</v>
      </c>
      <c r="C183" s="68">
        <v>75897</v>
      </c>
      <c r="D183" s="70">
        <v>45757</v>
      </c>
      <c r="E183" s="69"/>
      <c r="G183"/>
      <c r="J183"/>
    </row>
    <row r="184" spans="1:10" ht="15.6" x14ac:dyDescent="0.3">
      <c r="A184" s="65" t="s">
        <v>176</v>
      </c>
      <c r="B184" s="65" t="s">
        <v>452</v>
      </c>
      <c r="C184" s="68">
        <v>33696</v>
      </c>
      <c r="D184" s="70">
        <v>45802</v>
      </c>
      <c r="E184" s="69"/>
      <c r="G184"/>
      <c r="J184"/>
    </row>
    <row r="185" spans="1:10" ht="15.6" x14ac:dyDescent="0.3">
      <c r="A185" s="65" t="s">
        <v>170</v>
      </c>
      <c r="B185" s="65" t="s">
        <v>61</v>
      </c>
      <c r="C185" s="68">
        <v>25083</v>
      </c>
      <c r="D185" s="70">
        <v>45750</v>
      </c>
      <c r="E185" s="69"/>
      <c r="G185"/>
      <c r="J185"/>
    </row>
    <row r="186" spans="1:10" ht="15.6" x14ac:dyDescent="0.3">
      <c r="A186" s="65" t="s">
        <v>453</v>
      </c>
      <c r="B186" s="65" t="s">
        <v>61</v>
      </c>
      <c r="C186" s="68">
        <v>223</v>
      </c>
      <c r="D186" s="70">
        <v>45507</v>
      </c>
      <c r="E186" s="69"/>
      <c r="G186"/>
      <c r="J186"/>
    </row>
    <row r="187" spans="1:10" ht="15.6" x14ac:dyDescent="0.3">
      <c r="A187" s="65" t="s">
        <v>176</v>
      </c>
      <c r="B187" s="65" t="s">
        <v>448</v>
      </c>
      <c r="C187" s="68">
        <v>40032</v>
      </c>
      <c r="D187" s="70">
        <v>45734</v>
      </c>
      <c r="E187" s="69"/>
      <c r="G187"/>
      <c r="J187"/>
    </row>
    <row r="188" spans="1:10" ht="15.6" x14ac:dyDescent="0.3">
      <c r="A188" s="65" t="s">
        <v>449</v>
      </c>
      <c r="B188" s="65" t="s">
        <v>61</v>
      </c>
      <c r="C188" s="68">
        <v>17694</v>
      </c>
      <c r="D188" s="70">
        <v>45681</v>
      </c>
      <c r="E188" s="69"/>
      <c r="G188"/>
      <c r="J188"/>
    </row>
    <row r="189" spans="1:10" ht="15.6" x14ac:dyDescent="0.3">
      <c r="A189" s="65" t="s">
        <v>447</v>
      </c>
      <c r="B189" s="65" t="s">
        <v>63</v>
      </c>
      <c r="C189" s="68">
        <v>117744</v>
      </c>
      <c r="D189" s="70">
        <v>45495</v>
      </c>
      <c r="E189" s="69"/>
      <c r="G189"/>
      <c r="J189"/>
    </row>
    <row r="190" spans="1:10" ht="15.6" x14ac:dyDescent="0.3">
      <c r="A190" s="65" t="s">
        <v>446</v>
      </c>
      <c r="B190" s="65" t="s">
        <v>448</v>
      </c>
      <c r="C190" s="68">
        <v>29712</v>
      </c>
      <c r="D190" s="70">
        <v>45651</v>
      </c>
      <c r="E190" s="69"/>
      <c r="G190"/>
      <c r="J190"/>
    </row>
    <row r="191" spans="1:10" ht="15.6" x14ac:dyDescent="0.3">
      <c r="A191" s="65" t="s">
        <v>450</v>
      </c>
      <c r="B191" s="65" t="s">
        <v>445</v>
      </c>
      <c r="C191" s="68">
        <v>564</v>
      </c>
      <c r="D191" s="70">
        <v>45669</v>
      </c>
      <c r="E191" s="69"/>
      <c r="G191"/>
      <c r="J191"/>
    </row>
    <row r="192" spans="1:10" ht="15.6" x14ac:dyDescent="0.3">
      <c r="A192" s="65" t="s">
        <v>450</v>
      </c>
      <c r="B192" s="65" t="s">
        <v>445</v>
      </c>
      <c r="C192" s="68">
        <v>33022</v>
      </c>
      <c r="D192" s="70">
        <v>45790</v>
      </c>
      <c r="E192" s="69"/>
      <c r="G192"/>
      <c r="J192"/>
    </row>
    <row r="193" spans="1:10" ht="15.6" x14ac:dyDescent="0.3">
      <c r="A193" s="65" t="s">
        <v>453</v>
      </c>
      <c r="B193" s="65" t="s">
        <v>445</v>
      </c>
      <c r="C193" s="68">
        <v>7578</v>
      </c>
      <c r="D193" s="70">
        <v>45717</v>
      </c>
      <c r="E193" s="69"/>
      <c r="G193"/>
      <c r="J193"/>
    </row>
    <row r="194" spans="1:10" ht="15.6" x14ac:dyDescent="0.3">
      <c r="A194" s="65" t="s">
        <v>446</v>
      </c>
      <c r="B194" s="65" t="s">
        <v>61</v>
      </c>
      <c r="C194" s="68">
        <v>76240</v>
      </c>
      <c r="D194" s="70">
        <v>45722</v>
      </c>
      <c r="E194" s="69"/>
      <c r="G194"/>
      <c r="J194"/>
    </row>
    <row r="195" spans="1:10" ht="15.6" x14ac:dyDescent="0.3">
      <c r="A195" s="65" t="s">
        <v>169</v>
      </c>
      <c r="B195" s="65" t="s">
        <v>452</v>
      </c>
      <c r="C195" s="68">
        <v>2448</v>
      </c>
      <c r="D195" s="70">
        <v>45587</v>
      </c>
      <c r="E195" s="69"/>
      <c r="G195"/>
      <c r="J195"/>
    </row>
    <row r="196" spans="1:10" ht="15.6" x14ac:dyDescent="0.3">
      <c r="A196" s="65" t="s">
        <v>169</v>
      </c>
      <c r="B196" s="65" t="s">
        <v>63</v>
      </c>
      <c r="C196" s="68">
        <v>13825</v>
      </c>
      <c r="D196" s="70">
        <v>45508</v>
      </c>
      <c r="E196" s="69"/>
      <c r="G196"/>
      <c r="J196"/>
    </row>
    <row r="197" spans="1:10" ht="15.6" x14ac:dyDescent="0.3">
      <c r="A197" s="65" t="s">
        <v>169</v>
      </c>
      <c r="B197" s="65" t="s">
        <v>448</v>
      </c>
      <c r="C197" s="68">
        <v>1002</v>
      </c>
      <c r="D197" s="70">
        <v>45669</v>
      </c>
      <c r="E197" s="69"/>
      <c r="G197"/>
      <c r="J197"/>
    </row>
    <row r="198" spans="1:10" ht="15.6" x14ac:dyDescent="0.3">
      <c r="A198" s="65" t="s">
        <v>450</v>
      </c>
      <c r="B198" s="65" t="s">
        <v>454</v>
      </c>
      <c r="C198" s="68">
        <v>33099</v>
      </c>
      <c r="D198" s="70">
        <v>45559</v>
      </c>
      <c r="E198" s="69"/>
      <c r="G198"/>
      <c r="J198"/>
    </row>
    <row r="199" spans="1:10" ht="15.6" x14ac:dyDescent="0.3">
      <c r="A199" s="65" t="s">
        <v>169</v>
      </c>
      <c r="B199" s="65" t="s">
        <v>454</v>
      </c>
      <c r="C199" s="68">
        <v>5607</v>
      </c>
      <c r="D199" s="70">
        <v>45751</v>
      </c>
      <c r="E199" s="69"/>
      <c r="G199"/>
      <c r="J199"/>
    </row>
    <row r="200" spans="1:10" ht="15.6" x14ac:dyDescent="0.3">
      <c r="A200" s="65" t="s">
        <v>170</v>
      </c>
      <c r="B200" s="65" t="s">
        <v>171</v>
      </c>
      <c r="C200" s="68">
        <v>66700</v>
      </c>
      <c r="D200" s="70">
        <v>45577</v>
      </c>
      <c r="E200" s="69"/>
      <c r="G200"/>
      <c r="J200"/>
    </row>
    <row r="201" spans="1:10" x14ac:dyDescent="0.25">
      <c r="A201" s="65" t="s">
        <v>451</v>
      </c>
      <c r="B201" s="65" t="s">
        <v>445</v>
      </c>
      <c r="C201" s="68">
        <v>32460</v>
      </c>
      <c r="D201" s="70">
        <v>45695</v>
      </c>
      <c r="E201" s="69"/>
    </row>
  </sheetData>
  <mergeCells count="3">
    <mergeCell ref="G3:H3"/>
    <mergeCell ref="G7:H7"/>
    <mergeCell ref="G2:H2"/>
  </mergeCells>
  <dataValidations count="2">
    <dataValidation type="list" allowBlank="1" showInputMessage="1" showErrorMessage="1" sqref="H6" xr:uid="{3042D75F-E6BE-4D92-8576-7FBBE7209396}">
      <formula1>$O$1:$O$10</formula1>
    </dataValidation>
    <dataValidation type="list" allowBlank="1" showInputMessage="1" showErrorMessage="1" sqref="G2 G6" xr:uid="{57988374-AD9C-4042-AAB9-E6DB786FBB0D}">
      <formula1>$N$1:$N$7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00E72-8B2F-459E-89D6-95A4FDCC6CA1}">
  <sheetPr>
    <tabColor rgb="FF92D050"/>
  </sheetPr>
  <dimension ref="A1:L19"/>
  <sheetViews>
    <sheetView workbookViewId="0">
      <selection activeCell="G4" sqref="G4"/>
    </sheetView>
  </sheetViews>
  <sheetFormatPr defaultColWidth="14.33203125" defaultRowHeight="15.6" x14ac:dyDescent="0.3"/>
  <cols>
    <col min="1" max="1" width="21.6640625" style="79" customWidth="1"/>
    <col min="2" max="2" width="14.33203125" style="79"/>
    <col min="3" max="3" width="11.88671875" style="79" bestFit="1" customWidth="1"/>
    <col min="4" max="5" width="14.33203125" style="79"/>
    <col min="6" max="6" width="23.88671875" style="79" customWidth="1"/>
    <col min="7" max="16384" width="14.33203125" style="79"/>
  </cols>
  <sheetData>
    <row r="1" spans="1:12" ht="18" x14ac:dyDescent="0.3">
      <c r="A1" s="78" t="s">
        <v>474</v>
      </c>
      <c r="B1" s="78" t="s">
        <v>475</v>
      </c>
      <c r="C1" s="78" t="s">
        <v>476</v>
      </c>
      <c r="D1" s="78" t="s">
        <v>167</v>
      </c>
      <c r="F1" s="137" t="s">
        <v>477</v>
      </c>
      <c r="G1" s="137"/>
      <c r="H1" s="137"/>
      <c r="I1" s="137"/>
      <c r="J1" s="137"/>
      <c r="K1" s="137"/>
    </row>
    <row r="2" spans="1:12" x14ac:dyDescent="0.3">
      <c r="A2" s="80" t="s">
        <v>478</v>
      </c>
      <c r="B2" s="80" t="s">
        <v>479</v>
      </c>
      <c r="C2" s="80">
        <v>5</v>
      </c>
      <c r="D2" s="81">
        <v>44958</v>
      </c>
      <c r="F2"/>
      <c r="G2"/>
      <c r="H2"/>
      <c r="I2"/>
      <c r="J2"/>
      <c r="K2"/>
      <c r="L2"/>
    </row>
    <row r="3" spans="1:12" ht="18" x14ac:dyDescent="0.35">
      <c r="A3" s="80" t="s">
        <v>480</v>
      </c>
      <c r="B3" s="80" t="s">
        <v>481</v>
      </c>
      <c r="C3" s="80">
        <v>7</v>
      </c>
      <c r="D3" s="81">
        <v>44959</v>
      </c>
      <c r="F3" s="82" t="s">
        <v>482</v>
      </c>
      <c r="G3" s="82" t="s">
        <v>479</v>
      </c>
      <c r="H3" s="82" t="s">
        <v>481</v>
      </c>
      <c r="I3" s="82" t="s">
        <v>483</v>
      </c>
      <c r="J3"/>
      <c r="K3"/>
      <c r="L3"/>
    </row>
    <row r="4" spans="1:12" x14ac:dyDescent="0.3">
      <c r="A4" s="80" t="s">
        <v>484</v>
      </c>
      <c r="B4" s="80" t="s">
        <v>483</v>
      </c>
      <c r="C4" s="80">
        <v>6</v>
      </c>
      <c r="D4" s="81">
        <v>44960</v>
      </c>
      <c r="F4" s="80" t="s">
        <v>478</v>
      </c>
      <c r="G4" s="83">
        <f>SUMIFS($C$2:$C$17,$A$2:$A$17,$F4,$B$2:$B$17,G$3)</f>
        <v>5</v>
      </c>
      <c r="H4" s="83">
        <f t="shared" ref="H4:I11" si="0">SUMIFS($C$2:$C$17,$A$2:$A$17,$F4,$B$2:$B$17,H$3)</f>
        <v>0</v>
      </c>
      <c r="I4" s="83">
        <f t="shared" si="0"/>
        <v>5</v>
      </c>
    </row>
    <row r="5" spans="1:12" x14ac:dyDescent="0.3">
      <c r="A5" s="80" t="s">
        <v>485</v>
      </c>
      <c r="B5" s="80" t="s">
        <v>479</v>
      </c>
      <c r="C5" s="80">
        <v>4</v>
      </c>
      <c r="D5" s="81">
        <v>44961</v>
      </c>
      <c r="F5" s="80" t="s">
        <v>480</v>
      </c>
      <c r="G5" s="83">
        <f t="shared" ref="G5:G11" si="1">SUMIFS($C$2:$C$17,$A$2:$A$17,$F5,$B$2:$B$17,G$3)</f>
        <v>7</v>
      </c>
      <c r="H5" s="83">
        <f t="shared" si="0"/>
        <v>7</v>
      </c>
      <c r="I5" s="83">
        <f t="shared" si="0"/>
        <v>0</v>
      </c>
    </row>
    <row r="6" spans="1:12" x14ac:dyDescent="0.3">
      <c r="A6" s="80" t="s">
        <v>486</v>
      </c>
      <c r="B6" s="80" t="s">
        <v>481</v>
      </c>
      <c r="C6" s="80">
        <v>8</v>
      </c>
      <c r="D6" s="81">
        <v>44962</v>
      </c>
      <c r="F6" s="80" t="s">
        <v>484</v>
      </c>
      <c r="G6" s="83">
        <f t="shared" si="1"/>
        <v>0</v>
      </c>
      <c r="H6" s="83">
        <f t="shared" si="0"/>
        <v>6</v>
      </c>
      <c r="I6" s="83">
        <f t="shared" si="0"/>
        <v>6</v>
      </c>
    </row>
    <row r="7" spans="1:12" x14ac:dyDescent="0.3">
      <c r="A7" s="80" t="s">
        <v>487</v>
      </c>
      <c r="B7" s="80" t="s">
        <v>483</v>
      </c>
      <c r="C7" s="80">
        <v>5</v>
      </c>
      <c r="D7" s="81">
        <v>44963</v>
      </c>
      <c r="F7" s="80" t="s">
        <v>485</v>
      </c>
      <c r="G7" s="83">
        <f t="shared" si="1"/>
        <v>4</v>
      </c>
      <c r="H7" s="83">
        <f t="shared" si="0"/>
        <v>0</v>
      </c>
      <c r="I7" s="83">
        <f t="shared" si="0"/>
        <v>4</v>
      </c>
    </row>
    <row r="8" spans="1:12" x14ac:dyDescent="0.3">
      <c r="A8" s="80" t="s">
        <v>488</v>
      </c>
      <c r="B8" s="80" t="s">
        <v>479</v>
      </c>
      <c r="C8" s="80">
        <v>7</v>
      </c>
      <c r="D8" s="81">
        <v>44964</v>
      </c>
      <c r="F8" s="80" t="s">
        <v>486</v>
      </c>
      <c r="G8" s="83">
        <f t="shared" si="1"/>
        <v>8</v>
      </c>
      <c r="H8" s="83">
        <f t="shared" si="0"/>
        <v>8</v>
      </c>
      <c r="I8" s="83">
        <f t="shared" si="0"/>
        <v>0</v>
      </c>
    </row>
    <row r="9" spans="1:12" x14ac:dyDescent="0.3">
      <c r="A9" s="80" t="s">
        <v>489</v>
      </c>
      <c r="B9" s="80" t="s">
        <v>481</v>
      </c>
      <c r="C9" s="80">
        <v>6</v>
      </c>
      <c r="D9" s="81">
        <v>44965</v>
      </c>
      <c r="F9" s="80" t="s">
        <v>487</v>
      </c>
      <c r="G9" s="83">
        <f t="shared" si="1"/>
        <v>0</v>
      </c>
      <c r="H9" s="83">
        <f t="shared" si="0"/>
        <v>5</v>
      </c>
      <c r="I9" s="83">
        <f t="shared" si="0"/>
        <v>5</v>
      </c>
    </row>
    <row r="10" spans="1:12" x14ac:dyDescent="0.3">
      <c r="A10" s="80" t="s">
        <v>478</v>
      </c>
      <c r="B10" s="80" t="s">
        <v>483</v>
      </c>
      <c r="C10" s="80">
        <v>5</v>
      </c>
      <c r="D10" s="81">
        <v>44966</v>
      </c>
      <c r="F10" s="80" t="s">
        <v>488</v>
      </c>
      <c r="G10" s="83">
        <f t="shared" si="1"/>
        <v>7</v>
      </c>
      <c r="H10" s="83">
        <f t="shared" si="0"/>
        <v>0</v>
      </c>
      <c r="I10" s="83">
        <f t="shared" si="0"/>
        <v>7</v>
      </c>
    </row>
    <row r="11" spans="1:12" x14ac:dyDescent="0.3">
      <c r="A11" s="80" t="s">
        <v>480</v>
      </c>
      <c r="B11" s="80" t="s">
        <v>479</v>
      </c>
      <c r="C11" s="80">
        <v>7</v>
      </c>
      <c r="D11" s="81">
        <v>44967</v>
      </c>
      <c r="F11" s="80" t="s">
        <v>489</v>
      </c>
      <c r="G11" s="83">
        <f t="shared" si="1"/>
        <v>6</v>
      </c>
      <c r="H11" s="83">
        <f t="shared" si="0"/>
        <v>6</v>
      </c>
      <c r="I11" s="83">
        <f t="shared" si="0"/>
        <v>0</v>
      </c>
    </row>
    <row r="12" spans="1:12" x14ac:dyDescent="0.3">
      <c r="A12" s="80" t="s">
        <v>484</v>
      </c>
      <c r="B12" s="80" t="s">
        <v>481</v>
      </c>
      <c r="C12" s="80">
        <v>6</v>
      </c>
      <c r="D12" s="81">
        <v>44968</v>
      </c>
      <c r="F12"/>
    </row>
    <row r="13" spans="1:12" x14ac:dyDescent="0.3">
      <c r="A13" s="80" t="s">
        <v>485</v>
      </c>
      <c r="B13" s="80" t="s">
        <v>483</v>
      </c>
      <c r="C13" s="80">
        <v>4</v>
      </c>
      <c r="D13" s="81">
        <v>44969</v>
      </c>
      <c r="F13"/>
    </row>
    <row r="14" spans="1:12" x14ac:dyDescent="0.3">
      <c r="A14" s="80" t="s">
        <v>486</v>
      </c>
      <c r="B14" s="80" t="s">
        <v>479</v>
      </c>
      <c r="C14" s="80">
        <v>8</v>
      </c>
      <c r="D14" s="81">
        <v>44970</v>
      </c>
      <c r="F14"/>
    </row>
    <row r="15" spans="1:12" x14ac:dyDescent="0.3">
      <c r="A15" s="80" t="s">
        <v>487</v>
      </c>
      <c r="B15" s="80" t="s">
        <v>481</v>
      </c>
      <c r="C15" s="80">
        <v>5</v>
      </c>
      <c r="D15" s="81">
        <v>44971</v>
      </c>
      <c r="F15"/>
    </row>
    <row r="16" spans="1:12" x14ac:dyDescent="0.3">
      <c r="A16" s="80" t="s">
        <v>488</v>
      </c>
      <c r="B16" s="80" t="s">
        <v>483</v>
      </c>
      <c r="C16" s="80">
        <v>7</v>
      </c>
      <c r="D16" s="81">
        <v>44972</v>
      </c>
      <c r="F16"/>
    </row>
    <row r="17" spans="1:6" x14ac:dyDescent="0.3">
      <c r="A17" s="80" t="s">
        <v>489</v>
      </c>
      <c r="B17" s="80" t="s">
        <v>479</v>
      </c>
      <c r="C17" s="80">
        <v>6</v>
      </c>
      <c r="D17" s="81">
        <v>44973</v>
      </c>
      <c r="F17"/>
    </row>
    <row r="18" spans="1:6" x14ac:dyDescent="0.3">
      <c r="F18"/>
    </row>
    <row r="19" spans="1:6" x14ac:dyDescent="0.3">
      <c r="F19"/>
    </row>
  </sheetData>
  <mergeCells count="1">
    <mergeCell ref="F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4C190-6A3C-4E9B-A164-5C53CEA606FB}">
  <sheetPr>
    <tabColor theme="8"/>
  </sheetPr>
  <dimension ref="A1:J15"/>
  <sheetViews>
    <sheetView zoomScale="130" zoomScaleNormal="130" workbookViewId="0">
      <selection activeCell="I3" sqref="I3"/>
    </sheetView>
  </sheetViews>
  <sheetFormatPr defaultRowHeight="14.4" x14ac:dyDescent="0.3"/>
  <cols>
    <col min="1" max="1" width="11" bestFit="1" customWidth="1"/>
    <col min="2" max="2" width="11.33203125" bestFit="1" customWidth="1"/>
    <col min="3" max="3" width="12.44140625" bestFit="1" customWidth="1"/>
    <col min="4" max="4" width="7.33203125" bestFit="1" customWidth="1"/>
    <col min="5" max="5" width="7.6640625" bestFit="1" customWidth="1"/>
    <col min="6" max="6" width="10.88671875" bestFit="1" customWidth="1"/>
    <col min="7" max="7" width="7" bestFit="1" customWidth="1"/>
  </cols>
  <sheetData>
    <row r="1" spans="1:10" ht="15.6" x14ac:dyDescent="0.3">
      <c r="A1" s="75" t="s">
        <v>458</v>
      </c>
      <c r="B1" s="75" t="s">
        <v>459</v>
      </c>
      <c r="C1" s="75" t="s">
        <v>460</v>
      </c>
      <c r="D1" s="75" t="s">
        <v>461</v>
      </c>
      <c r="E1" s="75" t="s">
        <v>462</v>
      </c>
      <c r="F1" s="75" t="s">
        <v>167</v>
      </c>
      <c r="G1" s="75" t="s">
        <v>463</v>
      </c>
      <c r="H1" s="76"/>
      <c r="I1" s="138" t="s">
        <v>464</v>
      </c>
      <c r="J1" s="139"/>
    </row>
    <row r="2" spans="1:10" ht="15.6" x14ac:dyDescent="0.3">
      <c r="A2" s="10" t="s">
        <v>465</v>
      </c>
      <c r="B2" s="10">
        <v>2</v>
      </c>
      <c r="C2" s="10">
        <v>145</v>
      </c>
      <c r="D2" s="10">
        <v>74</v>
      </c>
      <c r="E2" s="10">
        <v>71</v>
      </c>
      <c r="F2" s="77">
        <v>44676</v>
      </c>
      <c r="G2" s="10" t="s">
        <v>466</v>
      </c>
      <c r="H2" s="76"/>
      <c r="I2" s="140">
        <f>SUMIFS(C2:C15,A2:A15,"nar",G2:G15,"mart")</f>
        <v>244</v>
      </c>
      <c r="J2" s="141"/>
    </row>
    <row r="3" spans="1:10" ht="15.6" x14ac:dyDescent="0.3">
      <c r="A3" s="10" t="s">
        <v>467</v>
      </c>
      <c r="B3" s="10">
        <v>9</v>
      </c>
      <c r="C3" s="10">
        <v>169</v>
      </c>
      <c r="D3" s="10">
        <v>77</v>
      </c>
      <c r="E3" s="10">
        <v>92</v>
      </c>
      <c r="F3" s="77">
        <v>44611</v>
      </c>
      <c r="G3" s="10" t="s">
        <v>468</v>
      </c>
      <c r="H3" s="76"/>
      <c r="I3" s="76"/>
      <c r="J3" s="76"/>
    </row>
    <row r="4" spans="1:10" ht="15.6" x14ac:dyDescent="0.3">
      <c r="A4" s="10" t="s">
        <v>469</v>
      </c>
      <c r="B4" s="10">
        <v>6</v>
      </c>
      <c r="C4" s="10">
        <v>189</v>
      </c>
      <c r="D4" s="10">
        <v>63</v>
      </c>
      <c r="E4" s="10">
        <v>126</v>
      </c>
      <c r="F4" s="77">
        <v>44611</v>
      </c>
      <c r="G4" s="10" t="s">
        <v>468</v>
      </c>
      <c r="H4" s="76"/>
      <c r="I4" s="76"/>
      <c r="J4" s="76"/>
    </row>
    <row r="5" spans="1:10" ht="15.6" x14ac:dyDescent="0.3">
      <c r="A5" s="10" t="s">
        <v>470</v>
      </c>
      <c r="B5" s="10">
        <v>8</v>
      </c>
      <c r="C5" s="10">
        <v>174</v>
      </c>
      <c r="D5" s="10">
        <v>78</v>
      </c>
      <c r="E5" s="10">
        <v>96</v>
      </c>
      <c r="F5" s="77">
        <v>44644</v>
      </c>
      <c r="G5" s="10" t="s">
        <v>471</v>
      </c>
      <c r="H5" s="76"/>
      <c r="I5" s="76"/>
      <c r="J5" s="76"/>
    </row>
    <row r="6" spans="1:10" ht="15.6" x14ac:dyDescent="0.3">
      <c r="A6" s="10" t="s">
        <v>472</v>
      </c>
      <c r="B6" s="10">
        <v>5</v>
      </c>
      <c r="C6" s="10">
        <v>121</v>
      </c>
      <c r="D6" s="10">
        <v>61</v>
      </c>
      <c r="E6" s="10">
        <v>60</v>
      </c>
      <c r="F6" s="77">
        <v>44644</v>
      </c>
      <c r="G6" s="10" t="s">
        <v>471</v>
      </c>
      <c r="H6" s="76"/>
      <c r="I6" s="76"/>
      <c r="J6" s="76"/>
    </row>
    <row r="7" spans="1:10" ht="15.6" x14ac:dyDescent="0.3">
      <c r="A7" s="10" t="s">
        <v>469</v>
      </c>
      <c r="B7" s="10">
        <v>11</v>
      </c>
      <c r="C7" s="10">
        <v>244</v>
      </c>
      <c r="D7" s="10">
        <v>71</v>
      </c>
      <c r="E7" s="10">
        <v>173</v>
      </c>
      <c r="F7" s="77">
        <v>44644</v>
      </c>
      <c r="G7" s="10" t="s">
        <v>471</v>
      </c>
      <c r="H7" s="76"/>
      <c r="I7" s="76"/>
      <c r="J7" s="76"/>
    </row>
    <row r="8" spans="1:10" ht="15.6" x14ac:dyDescent="0.3">
      <c r="A8" s="10" t="s">
        <v>470</v>
      </c>
      <c r="B8" s="10">
        <v>5</v>
      </c>
      <c r="C8" s="10">
        <v>141</v>
      </c>
      <c r="D8" s="10">
        <v>63</v>
      </c>
      <c r="E8" s="10">
        <v>78</v>
      </c>
      <c r="F8" s="77">
        <v>44680</v>
      </c>
      <c r="G8" s="10" t="s">
        <v>466</v>
      </c>
      <c r="H8" s="76"/>
      <c r="I8" s="76"/>
      <c r="J8" s="76"/>
    </row>
    <row r="9" spans="1:10" ht="15.6" x14ac:dyDescent="0.3">
      <c r="A9" s="10" t="s">
        <v>472</v>
      </c>
      <c r="B9" s="10">
        <v>5</v>
      </c>
      <c r="C9" s="10">
        <v>291</v>
      </c>
      <c r="D9" s="10">
        <v>73</v>
      </c>
      <c r="E9" s="10">
        <v>218</v>
      </c>
      <c r="F9" s="77">
        <v>44622</v>
      </c>
      <c r="G9" s="10" t="s">
        <v>471</v>
      </c>
      <c r="H9" s="76"/>
      <c r="I9" s="76"/>
      <c r="J9" s="76"/>
    </row>
    <row r="10" spans="1:10" ht="15.6" x14ac:dyDescent="0.3">
      <c r="A10" s="10" t="s">
        <v>465</v>
      </c>
      <c r="B10" s="10">
        <v>2</v>
      </c>
      <c r="C10" s="10">
        <v>179</v>
      </c>
      <c r="D10" s="10">
        <v>72</v>
      </c>
      <c r="E10" s="10">
        <v>107</v>
      </c>
      <c r="F10" s="77">
        <v>44638</v>
      </c>
      <c r="G10" s="10" t="s">
        <v>471</v>
      </c>
      <c r="H10" s="76"/>
      <c r="I10" s="76"/>
      <c r="J10" s="76"/>
    </row>
    <row r="11" spans="1:10" ht="15.6" x14ac:dyDescent="0.3">
      <c r="A11" s="10" t="s">
        <v>467</v>
      </c>
      <c r="B11" s="10">
        <v>11</v>
      </c>
      <c r="C11" s="10">
        <v>227</v>
      </c>
      <c r="D11" s="10">
        <v>84</v>
      </c>
      <c r="E11" s="10">
        <v>143</v>
      </c>
      <c r="F11" s="77">
        <v>44601</v>
      </c>
      <c r="G11" s="10" t="s">
        <v>468</v>
      </c>
      <c r="H11" s="76"/>
      <c r="I11" s="76"/>
      <c r="J11" s="76"/>
    </row>
    <row r="12" spans="1:10" ht="15.6" x14ac:dyDescent="0.3">
      <c r="A12" s="10" t="s">
        <v>469</v>
      </c>
      <c r="B12" s="10">
        <v>5</v>
      </c>
      <c r="C12" s="10">
        <v>180</v>
      </c>
      <c r="D12" s="10">
        <v>70</v>
      </c>
      <c r="E12" s="10">
        <v>110</v>
      </c>
      <c r="F12" s="77">
        <v>44588</v>
      </c>
      <c r="G12" s="10" t="s">
        <v>473</v>
      </c>
      <c r="H12" s="76"/>
      <c r="I12" s="76"/>
      <c r="J12" s="76"/>
    </row>
    <row r="13" spans="1:10" ht="15.6" x14ac:dyDescent="0.3">
      <c r="A13" s="10" t="s">
        <v>470</v>
      </c>
      <c r="B13" s="10">
        <v>11</v>
      </c>
      <c r="C13" s="10">
        <v>273</v>
      </c>
      <c r="D13" s="10">
        <v>63</v>
      </c>
      <c r="E13" s="10">
        <v>210</v>
      </c>
      <c r="F13" s="77">
        <v>44575</v>
      </c>
      <c r="G13" s="10" t="s">
        <v>473</v>
      </c>
      <c r="H13" s="76"/>
      <c r="I13" s="76"/>
      <c r="J13" s="76"/>
    </row>
    <row r="14" spans="1:10" ht="15.6" x14ac:dyDescent="0.3">
      <c r="A14" s="10" t="s">
        <v>472</v>
      </c>
      <c r="B14" s="10">
        <v>10</v>
      </c>
      <c r="C14" s="10">
        <v>168</v>
      </c>
      <c r="D14" s="10">
        <v>88</v>
      </c>
      <c r="E14" s="10">
        <v>80</v>
      </c>
      <c r="F14" s="77">
        <v>44658</v>
      </c>
      <c r="G14" s="10" t="s">
        <v>466</v>
      </c>
      <c r="H14" s="76"/>
      <c r="I14" s="76"/>
      <c r="J14" s="76"/>
    </row>
    <row r="15" spans="1:10" ht="15.6" x14ac:dyDescent="0.3">
      <c r="A15" s="10" t="s">
        <v>469</v>
      </c>
      <c r="B15" s="10">
        <v>9</v>
      </c>
      <c r="C15" s="10">
        <v>246</v>
      </c>
      <c r="D15" s="10">
        <v>81</v>
      </c>
      <c r="E15" s="10">
        <v>165</v>
      </c>
      <c r="F15" s="77">
        <v>44586</v>
      </c>
      <c r="G15" s="10" t="s">
        <v>473</v>
      </c>
      <c r="H15" s="76"/>
      <c r="I15" s="76"/>
      <c r="J15" s="76"/>
    </row>
  </sheetData>
  <mergeCells count="2">
    <mergeCell ref="I1:J1"/>
    <mergeCell ref="I2:J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D3B3-818A-471C-B793-D542B7F0DD82}">
  <sheetPr>
    <tabColor theme="8"/>
  </sheetPr>
  <dimension ref="A1:K43"/>
  <sheetViews>
    <sheetView workbookViewId="0">
      <selection activeCell="K4" sqref="K4"/>
    </sheetView>
  </sheetViews>
  <sheetFormatPr defaultColWidth="9.109375" defaultRowHeight="14.4" x14ac:dyDescent="0.3"/>
  <cols>
    <col min="1" max="1" width="16.5546875" style="94" customWidth="1"/>
    <col min="2" max="2" width="13.6640625" style="86" customWidth="1"/>
    <col min="3" max="3" width="11.44140625" style="86" customWidth="1"/>
    <col min="4" max="4" width="9.88671875" style="86" customWidth="1"/>
    <col min="5" max="5" width="11.109375" style="86" bestFit="1" customWidth="1"/>
    <col min="6" max="6" width="11" style="86" bestFit="1" customWidth="1"/>
    <col min="7" max="7" width="10.6640625" style="86" bestFit="1" customWidth="1"/>
    <col min="8" max="8" width="9.109375" style="86"/>
    <col min="9" max="9" width="8.6640625" style="86" customWidth="1"/>
    <col min="10" max="10" width="32.5546875" style="86" customWidth="1"/>
    <col min="11" max="11" width="27.77734375" style="86" customWidth="1"/>
    <col min="12" max="16384" width="9.109375" style="86"/>
  </cols>
  <sheetData>
    <row r="1" spans="1:11" ht="16.2" thickBot="1" x14ac:dyDescent="0.35">
      <c r="A1" s="84" t="s">
        <v>167</v>
      </c>
      <c r="B1" s="85" t="s">
        <v>490</v>
      </c>
      <c r="C1" s="85" t="s">
        <v>491</v>
      </c>
      <c r="D1" s="85" t="s">
        <v>492</v>
      </c>
      <c r="E1" s="85" t="s">
        <v>493</v>
      </c>
      <c r="F1" s="85" t="s">
        <v>164</v>
      </c>
      <c r="G1" s="85" t="s">
        <v>494</v>
      </c>
      <c r="J1" s="142" t="s">
        <v>507</v>
      </c>
      <c r="K1" s="142" t="s">
        <v>506</v>
      </c>
    </row>
    <row r="2" spans="1:11" ht="20.25" customHeight="1" thickTop="1" x14ac:dyDescent="0.3">
      <c r="A2" s="87">
        <v>43728</v>
      </c>
      <c r="B2" s="88" t="s">
        <v>497</v>
      </c>
      <c r="C2" s="88" t="s">
        <v>498</v>
      </c>
      <c r="D2" s="88" t="s">
        <v>499</v>
      </c>
      <c r="E2" s="88">
        <v>40</v>
      </c>
      <c r="F2" s="88">
        <v>15.95</v>
      </c>
      <c r="G2" s="88">
        <f t="shared" ref="G2:G43" si="0">F2*E2</f>
        <v>638</v>
      </c>
      <c r="J2" s="142"/>
      <c r="K2" s="142"/>
    </row>
    <row r="3" spans="1:11" ht="20.25" customHeight="1" x14ac:dyDescent="0.3">
      <c r="A3" s="89">
        <v>43663</v>
      </c>
      <c r="B3" s="90" t="s">
        <v>497</v>
      </c>
      <c r="C3" s="90" t="s">
        <v>498</v>
      </c>
      <c r="D3" s="90" t="s">
        <v>499</v>
      </c>
      <c r="E3" s="90">
        <v>35</v>
      </c>
      <c r="F3" s="90">
        <v>19.989999999999998</v>
      </c>
      <c r="G3" s="90">
        <f t="shared" si="0"/>
        <v>699.65</v>
      </c>
      <c r="J3" s="142"/>
      <c r="K3" s="142"/>
    </row>
    <row r="4" spans="1:11" ht="17.399999999999999" x14ac:dyDescent="0.3">
      <c r="A4" s="91">
        <v>43496</v>
      </c>
      <c r="B4" s="92" t="s">
        <v>500</v>
      </c>
      <c r="C4" s="92" t="s">
        <v>498</v>
      </c>
      <c r="D4" s="92" t="s">
        <v>501</v>
      </c>
      <c r="E4" s="92">
        <v>50</v>
      </c>
      <c r="F4" s="92">
        <v>15.99</v>
      </c>
      <c r="G4" s="92">
        <f t="shared" si="0"/>
        <v>799.5</v>
      </c>
      <c r="J4" s="93">
        <f>_xlfn.MAXIFS(F2:F43,D2:D43,"Qırmızı")</f>
        <v>59.99</v>
      </c>
      <c r="K4" s="93">
        <f>AVERAGEIFS(F2:F43,D2:D43,"Göy",C2:C43,"Qərb")</f>
        <v>29.607500000000002</v>
      </c>
    </row>
    <row r="5" spans="1:11" x14ac:dyDescent="0.3">
      <c r="A5" s="89">
        <v>43556</v>
      </c>
      <c r="B5" s="90" t="s">
        <v>497</v>
      </c>
      <c r="C5" s="90" t="s">
        <v>502</v>
      </c>
      <c r="D5" s="90" t="s">
        <v>503</v>
      </c>
      <c r="E5" s="90">
        <v>50</v>
      </c>
      <c r="F5" s="90">
        <v>59.99</v>
      </c>
      <c r="G5" s="90">
        <f t="shared" si="0"/>
        <v>2999.5</v>
      </c>
    </row>
    <row r="6" spans="1:11" x14ac:dyDescent="0.3">
      <c r="A6" s="91">
        <v>43680</v>
      </c>
      <c r="B6" s="92" t="s">
        <v>500</v>
      </c>
      <c r="C6" s="92" t="s">
        <v>502</v>
      </c>
      <c r="D6" s="92" t="s">
        <v>501</v>
      </c>
      <c r="E6" s="92">
        <v>32</v>
      </c>
      <c r="F6" s="92">
        <v>19.989999999999998</v>
      </c>
      <c r="G6" s="92">
        <f t="shared" si="0"/>
        <v>639.67999999999995</v>
      </c>
    </row>
    <row r="7" spans="1:11" x14ac:dyDescent="0.3">
      <c r="A7" s="89">
        <v>43722</v>
      </c>
      <c r="B7" s="90" t="s">
        <v>497</v>
      </c>
      <c r="C7" s="90" t="s">
        <v>498</v>
      </c>
      <c r="D7" s="90" t="s">
        <v>503</v>
      </c>
      <c r="E7" s="90">
        <v>45</v>
      </c>
      <c r="F7" s="90">
        <v>15.99</v>
      </c>
      <c r="G7" s="90">
        <f t="shared" si="0"/>
        <v>719.55</v>
      </c>
    </row>
    <row r="8" spans="1:11" ht="14.7" customHeight="1" x14ac:dyDescent="0.3">
      <c r="A8" s="91">
        <v>43670</v>
      </c>
      <c r="B8" s="92" t="s">
        <v>497</v>
      </c>
      <c r="C8" s="92" t="s">
        <v>498</v>
      </c>
      <c r="D8" s="92" t="s">
        <v>503</v>
      </c>
      <c r="E8" s="92">
        <v>25</v>
      </c>
      <c r="F8" s="92">
        <v>35.99</v>
      </c>
      <c r="G8" s="92">
        <f t="shared" si="0"/>
        <v>899.75</v>
      </c>
    </row>
    <row r="9" spans="1:11" ht="14.7" customHeight="1" x14ac:dyDescent="0.3">
      <c r="A9" s="89">
        <v>43495</v>
      </c>
      <c r="B9" s="90" t="s">
        <v>497</v>
      </c>
      <c r="C9" s="90" t="s">
        <v>498</v>
      </c>
      <c r="D9" s="90" t="s">
        <v>503</v>
      </c>
      <c r="E9" s="90">
        <v>80</v>
      </c>
      <c r="F9" s="90">
        <v>15.99</v>
      </c>
      <c r="G9" s="90">
        <f t="shared" si="0"/>
        <v>1279.2</v>
      </c>
    </row>
    <row r="10" spans="1:11" ht="14.7" customHeight="1" x14ac:dyDescent="0.3">
      <c r="A10" s="91">
        <v>43701</v>
      </c>
      <c r="B10" s="92" t="s">
        <v>497</v>
      </c>
      <c r="C10" s="92" t="s">
        <v>498</v>
      </c>
      <c r="D10" s="92" t="s">
        <v>501</v>
      </c>
      <c r="E10" s="92">
        <v>40</v>
      </c>
      <c r="F10" s="92">
        <v>35.99</v>
      </c>
      <c r="G10" s="92">
        <f t="shared" si="0"/>
        <v>1439.6000000000001</v>
      </c>
    </row>
    <row r="11" spans="1:11" x14ac:dyDescent="0.3">
      <c r="A11" s="89">
        <v>43784</v>
      </c>
      <c r="B11" s="90" t="s">
        <v>497</v>
      </c>
      <c r="C11" s="90" t="s">
        <v>498</v>
      </c>
      <c r="D11" s="90" t="s">
        <v>503</v>
      </c>
      <c r="E11" s="90">
        <v>40</v>
      </c>
      <c r="F11" s="90">
        <v>45.5</v>
      </c>
      <c r="G11" s="90">
        <f t="shared" si="0"/>
        <v>1820</v>
      </c>
    </row>
    <row r="12" spans="1:11" x14ac:dyDescent="0.3">
      <c r="A12" s="91">
        <v>43619</v>
      </c>
      <c r="B12" s="92" t="s">
        <v>497</v>
      </c>
      <c r="C12" s="92" t="s">
        <v>498</v>
      </c>
      <c r="D12" s="92" t="s">
        <v>504</v>
      </c>
      <c r="E12" s="92">
        <v>15</v>
      </c>
      <c r="F12" s="92">
        <v>15.99</v>
      </c>
      <c r="G12" s="92">
        <f t="shared" si="0"/>
        <v>239.85</v>
      </c>
    </row>
    <row r="13" spans="1:11" x14ac:dyDescent="0.3">
      <c r="A13" s="89">
        <v>43748</v>
      </c>
      <c r="B13" s="90" t="s">
        <v>497</v>
      </c>
      <c r="C13" s="90" t="s">
        <v>498</v>
      </c>
      <c r="D13" s="90" t="s">
        <v>499</v>
      </c>
      <c r="E13" s="90">
        <v>40</v>
      </c>
      <c r="F13" s="90">
        <v>15.99</v>
      </c>
      <c r="G13" s="90">
        <f t="shared" si="0"/>
        <v>639.6</v>
      </c>
    </row>
    <row r="14" spans="1:11" x14ac:dyDescent="0.3">
      <c r="A14" s="91">
        <v>43605</v>
      </c>
      <c r="B14" s="92" t="s">
        <v>497</v>
      </c>
      <c r="C14" s="92" t="s">
        <v>502</v>
      </c>
      <c r="D14" s="92" t="s">
        <v>499</v>
      </c>
      <c r="E14" s="92">
        <v>25</v>
      </c>
      <c r="F14" s="92">
        <v>55.5</v>
      </c>
      <c r="G14" s="92">
        <f t="shared" si="0"/>
        <v>1387.5</v>
      </c>
    </row>
    <row r="15" spans="1:11" x14ac:dyDescent="0.3">
      <c r="A15" s="89">
        <v>43537</v>
      </c>
      <c r="B15" s="90" t="s">
        <v>497</v>
      </c>
      <c r="C15" s="90" t="s">
        <v>498</v>
      </c>
      <c r="D15" s="90" t="s">
        <v>499</v>
      </c>
      <c r="E15" s="90">
        <v>50</v>
      </c>
      <c r="F15" s="90">
        <v>55.99</v>
      </c>
      <c r="G15" s="90">
        <f t="shared" si="0"/>
        <v>2799.5</v>
      </c>
    </row>
    <row r="16" spans="1:11" x14ac:dyDescent="0.3">
      <c r="A16" s="91">
        <v>43543</v>
      </c>
      <c r="B16" s="92" t="s">
        <v>497</v>
      </c>
      <c r="C16" s="92" t="s">
        <v>498</v>
      </c>
      <c r="D16" s="92" t="s">
        <v>501</v>
      </c>
      <c r="E16" s="92">
        <v>50</v>
      </c>
      <c r="F16" s="92">
        <v>8.99</v>
      </c>
      <c r="G16" s="92">
        <f t="shared" si="0"/>
        <v>449.5</v>
      </c>
    </row>
    <row r="17" spans="1:7" x14ac:dyDescent="0.3">
      <c r="A17" s="89">
        <v>43523</v>
      </c>
      <c r="B17" s="90" t="s">
        <v>497</v>
      </c>
      <c r="C17" s="90" t="s">
        <v>498</v>
      </c>
      <c r="D17" s="90" t="s">
        <v>501</v>
      </c>
      <c r="E17" s="90">
        <v>50</v>
      </c>
      <c r="F17" s="90">
        <v>15.5</v>
      </c>
      <c r="G17" s="90">
        <f t="shared" si="0"/>
        <v>775</v>
      </c>
    </row>
    <row r="18" spans="1:7" x14ac:dyDescent="0.3">
      <c r="A18" s="91">
        <v>43600</v>
      </c>
      <c r="B18" s="92" t="s">
        <v>500</v>
      </c>
      <c r="C18" s="92" t="s">
        <v>498</v>
      </c>
      <c r="D18" s="92" t="s">
        <v>504</v>
      </c>
      <c r="E18" s="92">
        <v>75</v>
      </c>
      <c r="F18" s="92">
        <v>19.5</v>
      </c>
      <c r="G18" s="92">
        <f t="shared" si="0"/>
        <v>1462.5</v>
      </c>
    </row>
    <row r="19" spans="1:7" x14ac:dyDescent="0.3">
      <c r="A19" s="89">
        <v>43630</v>
      </c>
      <c r="B19" s="90" t="s">
        <v>497</v>
      </c>
      <c r="C19" s="90" t="s">
        <v>498</v>
      </c>
      <c r="D19" s="92" t="s">
        <v>504</v>
      </c>
      <c r="E19" s="90">
        <v>50</v>
      </c>
      <c r="F19" s="90">
        <v>29.95</v>
      </c>
      <c r="G19" s="90">
        <f t="shared" si="0"/>
        <v>1497.5</v>
      </c>
    </row>
    <row r="20" spans="1:7" x14ac:dyDescent="0.3">
      <c r="A20" s="91">
        <v>43693</v>
      </c>
      <c r="B20" s="92" t="s">
        <v>497</v>
      </c>
      <c r="C20" s="92" t="s">
        <v>502</v>
      </c>
      <c r="D20" s="92" t="s">
        <v>504</v>
      </c>
      <c r="E20" s="92">
        <v>50</v>
      </c>
      <c r="F20" s="92">
        <v>39.950000000000003</v>
      </c>
      <c r="G20" s="92">
        <f t="shared" si="0"/>
        <v>1997.5000000000002</v>
      </c>
    </row>
    <row r="21" spans="1:7" x14ac:dyDescent="0.3">
      <c r="A21" s="89">
        <v>43555</v>
      </c>
      <c r="B21" s="90" t="s">
        <v>500</v>
      </c>
      <c r="C21" s="90" t="s">
        <v>498</v>
      </c>
      <c r="D21" s="90" t="s">
        <v>499</v>
      </c>
      <c r="E21" s="90">
        <v>75</v>
      </c>
      <c r="F21" s="90">
        <v>75</v>
      </c>
      <c r="G21" s="90">
        <f t="shared" si="0"/>
        <v>5625</v>
      </c>
    </row>
    <row r="22" spans="1:7" x14ac:dyDescent="0.3">
      <c r="A22" s="91">
        <v>43709</v>
      </c>
      <c r="B22" s="92" t="s">
        <v>500</v>
      </c>
      <c r="C22" s="92" t="s">
        <v>498</v>
      </c>
      <c r="D22" s="92" t="s">
        <v>501</v>
      </c>
      <c r="E22" s="92">
        <v>60</v>
      </c>
      <c r="F22" s="92">
        <v>15.99</v>
      </c>
      <c r="G22" s="92">
        <f t="shared" si="0"/>
        <v>959.4</v>
      </c>
    </row>
    <row r="23" spans="1:7" x14ac:dyDescent="0.3">
      <c r="A23" s="89">
        <v>43675</v>
      </c>
      <c r="B23" s="90" t="s">
        <v>497</v>
      </c>
      <c r="C23" s="90" t="s">
        <v>498</v>
      </c>
      <c r="D23" s="90" t="s">
        <v>503</v>
      </c>
      <c r="E23" s="90">
        <v>45</v>
      </c>
      <c r="F23" s="90">
        <v>59.99</v>
      </c>
      <c r="G23" s="90">
        <f t="shared" si="0"/>
        <v>2699.55</v>
      </c>
    </row>
    <row r="24" spans="1:7" x14ac:dyDescent="0.3">
      <c r="A24" s="91">
        <v>43510</v>
      </c>
      <c r="B24" s="92" t="s">
        <v>500</v>
      </c>
      <c r="C24" s="92" t="s">
        <v>498</v>
      </c>
      <c r="D24" s="92" t="s">
        <v>499</v>
      </c>
      <c r="E24" s="92">
        <v>50</v>
      </c>
      <c r="F24" s="92">
        <v>75</v>
      </c>
      <c r="G24" s="92">
        <f t="shared" si="0"/>
        <v>3750</v>
      </c>
    </row>
    <row r="25" spans="1:7" x14ac:dyDescent="0.3">
      <c r="A25" s="89">
        <v>43563</v>
      </c>
      <c r="B25" s="90" t="s">
        <v>505</v>
      </c>
      <c r="C25" s="90" t="s">
        <v>502</v>
      </c>
      <c r="D25" s="90" t="s">
        <v>503</v>
      </c>
      <c r="E25" s="90">
        <v>28</v>
      </c>
      <c r="F25" s="90">
        <v>14.074</v>
      </c>
      <c r="G25" s="90">
        <f t="shared" si="0"/>
        <v>394.072</v>
      </c>
    </row>
    <row r="26" spans="1:7" x14ac:dyDescent="0.3">
      <c r="A26" s="91">
        <v>43638</v>
      </c>
      <c r="B26" s="92" t="s">
        <v>500</v>
      </c>
      <c r="C26" s="92" t="s">
        <v>498</v>
      </c>
      <c r="D26" s="92" t="s">
        <v>503</v>
      </c>
      <c r="E26" s="92">
        <v>500</v>
      </c>
      <c r="F26" s="92">
        <v>1.99</v>
      </c>
      <c r="G26" s="92">
        <f t="shared" si="0"/>
        <v>995</v>
      </c>
    </row>
    <row r="27" spans="1:7" x14ac:dyDescent="0.3">
      <c r="A27" s="89">
        <v>43818</v>
      </c>
      <c r="B27" s="90" t="s">
        <v>505</v>
      </c>
      <c r="C27" s="90" t="s">
        <v>498</v>
      </c>
      <c r="D27" s="90" t="s">
        <v>503</v>
      </c>
      <c r="E27" s="90">
        <v>33</v>
      </c>
      <c r="F27" s="90">
        <v>34.99</v>
      </c>
      <c r="G27" s="90">
        <f t="shared" si="0"/>
        <v>1154.67</v>
      </c>
    </row>
    <row r="28" spans="1:7" x14ac:dyDescent="0.3">
      <c r="A28" s="91">
        <v>43522</v>
      </c>
      <c r="B28" s="92" t="s">
        <v>500</v>
      </c>
      <c r="C28" s="92" t="s">
        <v>502</v>
      </c>
      <c r="D28" s="92" t="s">
        <v>503</v>
      </c>
      <c r="E28" s="92">
        <v>35</v>
      </c>
      <c r="F28" s="92">
        <v>45.99</v>
      </c>
      <c r="G28" s="92">
        <f t="shared" si="0"/>
        <v>1609.65</v>
      </c>
    </row>
    <row r="29" spans="1:7" x14ac:dyDescent="0.3">
      <c r="A29" s="89">
        <v>43806</v>
      </c>
      <c r="B29" s="90" t="s">
        <v>505</v>
      </c>
      <c r="C29" s="90" t="s">
        <v>498</v>
      </c>
      <c r="D29" s="90" t="s">
        <v>499</v>
      </c>
      <c r="E29" s="90">
        <v>25</v>
      </c>
      <c r="F29" s="90">
        <v>95</v>
      </c>
      <c r="G29" s="90">
        <f t="shared" si="0"/>
        <v>2375</v>
      </c>
    </row>
    <row r="30" spans="1:7" x14ac:dyDescent="0.3">
      <c r="A30" s="91">
        <v>43494</v>
      </c>
      <c r="B30" s="92" t="s">
        <v>500</v>
      </c>
      <c r="C30" s="92" t="s">
        <v>502</v>
      </c>
      <c r="D30" s="92" t="s">
        <v>501</v>
      </c>
      <c r="E30" s="92">
        <v>50</v>
      </c>
      <c r="F30" s="92">
        <v>48.99</v>
      </c>
      <c r="G30" s="92">
        <f t="shared" si="0"/>
        <v>2449.5</v>
      </c>
    </row>
    <row r="31" spans="1:7" x14ac:dyDescent="0.3">
      <c r="A31" s="89">
        <v>43722</v>
      </c>
      <c r="B31" s="90" t="s">
        <v>500</v>
      </c>
      <c r="C31" s="90" t="s">
        <v>498</v>
      </c>
      <c r="D31" s="90" t="s">
        <v>499</v>
      </c>
      <c r="E31" s="90">
        <v>85</v>
      </c>
      <c r="F31" s="90">
        <v>29.99</v>
      </c>
      <c r="G31" s="90">
        <f t="shared" si="0"/>
        <v>2549.15</v>
      </c>
    </row>
    <row r="32" spans="1:7" x14ac:dyDescent="0.3">
      <c r="A32" s="91">
        <v>43636</v>
      </c>
      <c r="B32" s="92" t="s">
        <v>500</v>
      </c>
      <c r="C32" s="92" t="s">
        <v>502</v>
      </c>
      <c r="D32" s="92" t="s">
        <v>501</v>
      </c>
      <c r="E32" s="92">
        <v>25</v>
      </c>
      <c r="F32" s="92">
        <v>25.695</v>
      </c>
      <c r="G32" s="92">
        <f t="shared" si="0"/>
        <v>642.375</v>
      </c>
    </row>
    <row r="33" spans="1:7" x14ac:dyDescent="0.3">
      <c r="A33" s="89">
        <v>43686</v>
      </c>
      <c r="B33" s="90" t="s">
        <v>505</v>
      </c>
      <c r="C33" s="90" t="s">
        <v>498</v>
      </c>
      <c r="D33" s="90" t="s">
        <v>499</v>
      </c>
      <c r="E33" s="90">
        <v>37</v>
      </c>
      <c r="F33" s="90">
        <v>18.989999999999998</v>
      </c>
      <c r="G33" s="90">
        <f t="shared" si="0"/>
        <v>702.63</v>
      </c>
    </row>
    <row r="34" spans="1:7" x14ac:dyDescent="0.3">
      <c r="A34" s="91">
        <v>43529</v>
      </c>
      <c r="B34" s="92" t="s">
        <v>505</v>
      </c>
      <c r="C34" s="92" t="s">
        <v>502</v>
      </c>
      <c r="D34" s="92" t="s">
        <v>501</v>
      </c>
      <c r="E34" s="92">
        <v>50</v>
      </c>
      <c r="F34" s="92">
        <v>19.989999999999998</v>
      </c>
      <c r="G34" s="92">
        <f t="shared" si="0"/>
        <v>999.49999999999989</v>
      </c>
    </row>
    <row r="35" spans="1:7" x14ac:dyDescent="0.3">
      <c r="A35" s="89">
        <v>43623</v>
      </c>
      <c r="B35" s="90" t="s">
        <v>505</v>
      </c>
      <c r="C35" s="90" t="s">
        <v>498</v>
      </c>
      <c r="D35" s="90" t="s">
        <v>501</v>
      </c>
      <c r="E35" s="90">
        <v>15</v>
      </c>
      <c r="F35" s="90">
        <v>109.99</v>
      </c>
      <c r="G35" s="90">
        <f t="shared" si="0"/>
        <v>1649.85</v>
      </c>
    </row>
    <row r="36" spans="1:7" x14ac:dyDescent="0.3">
      <c r="A36" s="91">
        <v>43549</v>
      </c>
      <c r="B36" s="92" t="s">
        <v>505</v>
      </c>
      <c r="C36" s="92" t="s">
        <v>502</v>
      </c>
      <c r="D36" s="92" t="s">
        <v>501</v>
      </c>
      <c r="E36" s="92">
        <v>30</v>
      </c>
      <c r="F36" s="92">
        <v>59.99</v>
      </c>
      <c r="G36" s="92">
        <f t="shared" si="0"/>
        <v>1799.7</v>
      </c>
    </row>
    <row r="37" spans="1:7" x14ac:dyDescent="0.3">
      <c r="A37" s="89">
        <v>43815</v>
      </c>
      <c r="B37" s="90" t="s">
        <v>505</v>
      </c>
      <c r="C37" s="90" t="s">
        <v>502</v>
      </c>
      <c r="D37" s="90" t="s">
        <v>499</v>
      </c>
      <c r="E37" s="90">
        <v>40</v>
      </c>
      <c r="F37" s="90">
        <v>8.99</v>
      </c>
      <c r="G37" s="90">
        <f t="shared" si="0"/>
        <v>359.6</v>
      </c>
    </row>
    <row r="38" spans="1:7" x14ac:dyDescent="0.3">
      <c r="A38" s="91">
        <v>43550</v>
      </c>
      <c r="B38" s="92" t="s">
        <v>500</v>
      </c>
      <c r="C38" s="92" t="s">
        <v>502</v>
      </c>
      <c r="D38" s="92" t="s">
        <v>503</v>
      </c>
      <c r="E38" s="92">
        <v>20</v>
      </c>
      <c r="F38" s="92">
        <v>39.99</v>
      </c>
      <c r="G38" s="92">
        <f t="shared" si="0"/>
        <v>799.80000000000007</v>
      </c>
    </row>
    <row r="39" spans="1:7" x14ac:dyDescent="0.3">
      <c r="A39" s="89">
        <v>43689</v>
      </c>
      <c r="B39" s="90" t="s">
        <v>505</v>
      </c>
      <c r="C39" s="90" t="s">
        <v>502</v>
      </c>
      <c r="D39" s="90" t="s">
        <v>504</v>
      </c>
      <c r="E39" s="90">
        <v>50</v>
      </c>
      <c r="F39" s="90">
        <v>25.5</v>
      </c>
      <c r="G39" s="90">
        <f t="shared" si="0"/>
        <v>1275</v>
      </c>
    </row>
    <row r="40" spans="1:7" x14ac:dyDescent="0.3">
      <c r="A40" s="91">
        <v>43707</v>
      </c>
      <c r="B40" s="92" t="s">
        <v>505</v>
      </c>
      <c r="C40" s="92" t="s">
        <v>502</v>
      </c>
      <c r="D40" s="92" t="s">
        <v>504</v>
      </c>
      <c r="E40" s="92">
        <v>70</v>
      </c>
      <c r="F40" s="92">
        <v>75</v>
      </c>
      <c r="G40" s="92">
        <f t="shared" si="0"/>
        <v>5250</v>
      </c>
    </row>
    <row r="41" spans="1:7" x14ac:dyDescent="0.3">
      <c r="A41" s="89">
        <v>43740</v>
      </c>
      <c r="B41" s="90" t="s">
        <v>500</v>
      </c>
      <c r="C41" s="90" t="s">
        <v>502</v>
      </c>
      <c r="D41" s="90" t="s">
        <v>501</v>
      </c>
      <c r="E41" s="90">
        <v>110</v>
      </c>
      <c r="F41" s="90">
        <v>2.99</v>
      </c>
      <c r="G41" s="90">
        <f t="shared" si="0"/>
        <v>328.90000000000003</v>
      </c>
    </row>
    <row r="42" spans="1:7" x14ac:dyDescent="0.3">
      <c r="A42" s="91">
        <v>43823</v>
      </c>
      <c r="B42" s="92" t="s">
        <v>505</v>
      </c>
      <c r="C42" s="92" t="s">
        <v>502</v>
      </c>
      <c r="D42" s="92" t="s">
        <v>499</v>
      </c>
      <c r="E42" s="92">
        <v>50</v>
      </c>
      <c r="F42" s="92">
        <v>55</v>
      </c>
      <c r="G42" s="92">
        <f t="shared" si="0"/>
        <v>2750</v>
      </c>
    </row>
    <row r="43" spans="1:7" x14ac:dyDescent="0.3">
      <c r="A43" s="89">
        <v>43804</v>
      </c>
      <c r="B43" s="90" t="s">
        <v>500</v>
      </c>
      <c r="C43" s="90" t="s">
        <v>502</v>
      </c>
      <c r="D43" s="90" t="s">
        <v>499</v>
      </c>
      <c r="E43" s="90">
        <v>50</v>
      </c>
      <c r="F43" s="90">
        <v>95</v>
      </c>
      <c r="G43" s="90">
        <f t="shared" si="0"/>
        <v>4750</v>
      </c>
    </row>
  </sheetData>
  <mergeCells count="2">
    <mergeCell ref="J1:J3"/>
    <mergeCell ref="K1:K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172E-0434-4836-AAE8-288CF6F5BB50}">
  <sheetPr>
    <tabColor rgb="FF00B050"/>
  </sheetPr>
  <dimension ref="A1:J18"/>
  <sheetViews>
    <sheetView workbookViewId="0">
      <selection activeCell="I16" sqref="I16"/>
    </sheetView>
  </sheetViews>
  <sheetFormatPr defaultRowHeight="15.6" x14ac:dyDescent="0.35"/>
  <cols>
    <col min="1" max="1" width="20.77734375" style="36" bestFit="1" customWidth="1"/>
    <col min="2" max="5" width="16.21875" style="36" customWidth="1"/>
    <col min="6" max="6" width="17.109375" style="36" customWidth="1"/>
    <col min="7" max="7" width="8.88671875" style="36"/>
    <col min="8" max="8" width="20" style="36" bestFit="1" customWidth="1"/>
    <col min="9" max="9" width="26.6640625" style="36" customWidth="1"/>
    <col min="10" max="10" width="26.21875" style="36" customWidth="1"/>
    <col min="11" max="16384" width="8.88671875" style="36"/>
  </cols>
  <sheetData>
    <row r="1" spans="1:10" ht="19.8" x14ac:dyDescent="0.45">
      <c r="A1" s="34" t="s">
        <v>162</v>
      </c>
      <c r="B1" s="34" t="s">
        <v>163</v>
      </c>
      <c r="C1" s="34" t="s">
        <v>164</v>
      </c>
      <c r="D1" s="34" t="s">
        <v>165</v>
      </c>
      <c r="E1" s="34" t="s">
        <v>166</v>
      </c>
      <c r="F1" s="35" t="s">
        <v>167</v>
      </c>
      <c r="H1" s="143" t="s">
        <v>168</v>
      </c>
      <c r="I1" s="143"/>
      <c r="J1" s="143"/>
    </row>
    <row r="2" spans="1:10" ht="19.8" x14ac:dyDescent="0.35">
      <c r="A2" s="37" t="s">
        <v>169</v>
      </c>
      <c r="B2" s="37" t="s">
        <v>61</v>
      </c>
      <c r="C2" s="38">
        <v>533</v>
      </c>
      <c r="D2" s="37">
        <v>5</v>
      </c>
      <c r="E2" s="39">
        <v>2665</v>
      </c>
      <c r="F2" s="40">
        <v>45340</v>
      </c>
    </row>
    <row r="3" spans="1:10" ht="19.8" x14ac:dyDescent="0.45">
      <c r="A3" s="37" t="s">
        <v>170</v>
      </c>
      <c r="B3" s="37" t="s">
        <v>171</v>
      </c>
      <c r="C3" s="38">
        <v>649</v>
      </c>
      <c r="D3" s="37">
        <v>11</v>
      </c>
      <c r="E3" s="39">
        <v>7139</v>
      </c>
      <c r="F3" s="40">
        <v>45436</v>
      </c>
      <c r="H3" s="41" t="s">
        <v>172</v>
      </c>
      <c r="I3" s="16" t="s">
        <v>173</v>
      </c>
    </row>
    <row r="4" spans="1:10" ht="19.8" x14ac:dyDescent="0.45">
      <c r="A4" s="37" t="s">
        <v>174</v>
      </c>
      <c r="B4" s="37" t="s">
        <v>171</v>
      </c>
      <c r="C4" s="38">
        <v>1678</v>
      </c>
      <c r="D4" s="37">
        <v>15</v>
      </c>
      <c r="E4" s="39">
        <v>25170</v>
      </c>
      <c r="F4" s="40">
        <v>45385</v>
      </c>
      <c r="H4" s="42" t="s">
        <v>175</v>
      </c>
      <c r="I4" s="36">
        <f>SUMIFS(E2:E18,C2:C18,"&gt;=1000",C2:C18,"&lt;=1300")</f>
        <v>59891</v>
      </c>
    </row>
    <row r="5" spans="1:10" ht="19.8" x14ac:dyDescent="0.35">
      <c r="A5" s="37" t="s">
        <v>170</v>
      </c>
      <c r="B5" s="37" t="s">
        <v>62</v>
      </c>
      <c r="C5" s="38">
        <v>1354</v>
      </c>
      <c r="D5" s="37">
        <v>6</v>
      </c>
      <c r="E5" s="39">
        <v>8124</v>
      </c>
      <c r="F5" s="40">
        <v>45409</v>
      </c>
    </row>
    <row r="6" spans="1:10" ht="19.8" x14ac:dyDescent="0.35">
      <c r="A6" s="37" t="s">
        <v>176</v>
      </c>
      <c r="B6" s="37" t="s">
        <v>62</v>
      </c>
      <c r="C6" s="38">
        <v>1687</v>
      </c>
      <c r="D6" s="37">
        <v>15</v>
      </c>
      <c r="E6" s="39">
        <v>25305</v>
      </c>
      <c r="F6" s="40">
        <v>45426</v>
      </c>
    </row>
    <row r="7" spans="1:10" ht="19.8" x14ac:dyDescent="0.45">
      <c r="A7" s="37" t="s">
        <v>169</v>
      </c>
      <c r="B7" s="37" t="s">
        <v>61</v>
      </c>
      <c r="C7" s="38">
        <v>1898</v>
      </c>
      <c r="D7" s="37">
        <v>20</v>
      </c>
      <c r="E7" s="39">
        <v>37960</v>
      </c>
      <c r="F7" s="40">
        <v>45314</v>
      </c>
      <c r="H7" s="41" t="s">
        <v>172</v>
      </c>
      <c r="I7" s="16" t="s">
        <v>2040</v>
      </c>
    </row>
    <row r="8" spans="1:10" ht="19.8" x14ac:dyDescent="0.45">
      <c r="A8" s="37" t="s">
        <v>174</v>
      </c>
      <c r="B8" s="37" t="s">
        <v>171</v>
      </c>
      <c r="C8" s="38">
        <v>1113</v>
      </c>
      <c r="D8" s="37">
        <v>13</v>
      </c>
      <c r="E8" s="39">
        <v>14469</v>
      </c>
      <c r="F8" s="40">
        <v>45344</v>
      </c>
      <c r="H8" s="42" t="s">
        <v>175</v>
      </c>
      <c r="I8" s="36">
        <f>SUMIFS(E2:E18,F2:F18,"&gt;=01.05.2024",F2:F18,"&lt;=31.05.2024")</f>
        <v>52200</v>
      </c>
    </row>
    <row r="9" spans="1:10" ht="19.8" x14ac:dyDescent="0.35">
      <c r="A9" s="37" t="s">
        <v>170</v>
      </c>
      <c r="B9" s="37" t="s">
        <v>171</v>
      </c>
      <c r="C9" s="38">
        <v>1216</v>
      </c>
      <c r="D9" s="37">
        <v>10</v>
      </c>
      <c r="E9" s="39">
        <v>12160</v>
      </c>
      <c r="F9" s="40">
        <v>45310</v>
      </c>
    </row>
    <row r="10" spans="1:10" ht="19.8" x14ac:dyDescent="0.35">
      <c r="A10" s="37" t="s">
        <v>174</v>
      </c>
      <c r="B10" s="37" t="s">
        <v>177</v>
      </c>
      <c r="C10" s="38">
        <v>1508</v>
      </c>
      <c r="D10" s="37">
        <v>9</v>
      </c>
      <c r="E10" s="39">
        <v>13572</v>
      </c>
      <c r="F10" s="40">
        <v>45378</v>
      </c>
    </row>
    <row r="11" spans="1:10" ht="19.8" x14ac:dyDescent="0.45">
      <c r="A11" s="37" t="s">
        <v>174</v>
      </c>
      <c r="B11" s="37" t="s">
        <v>177</v>
      </c>
      <c r="C11" s="38">
        <v>1729</v>
      </c>
      <c r="D11" s="37">
        <v>10</v>
      </c>
      <c r="E11" s="39">
        <v>17290</v>
      </c>
      <c r="F11" s="40">
        <v>45379</v>
      </c>
      <c r="H11" s="41" t="s">
        <v>172</v>
      </c>
      <c r="I11" s="16" t="s">
        <v>178</v>
      </c>
    </row>
    <row r="12" spans="1:10" ht="19.8" x14ac:dyDescent="0.45">
      <c r="A12" s="37" t="s">
        <v>179</v>
      </c>
      <c r="B12" s="37" t="s">
        <v>63</v>
      </c>
      <c r="C12" s="38">
        <v>683</v>
      </c>
      <c r="D12" s="37">
        <v>14</v>
      </c>
      <c r="E12" s="39">
        <v>9562</v>
      </c>
      <c r="F12" s="40">
        <v>45309</v>
      </c>
      <c r="H12" s="42" t="s">
        <v>180</v>
      </c>
      <c r="I12" s="156">
        <f>SUMIFS(E2:E18,B2:B18,"Telefon")+SUMIFS(E2:E18,B2:B18,"Notebook")</f>
        <v>116984</v>
      </c>
    </row>
    <row r="13" spans="1:10" ht="19.8" x14ac:dyDescent="0.45">
      <c r="A13" s="37" t="s">
        <v>181</v>
      </c>
      <c r="B13" s="37" t="s">
        <v>177</v>
      </c>
      <c r="C13" s="38">
        <v>1054</v>
      </c>
      <c r="D13" s="37">
        <v>19</v>
      </c>
      <c r="E13" s="39">
        <v>20026</v>
      </c>
      <c r="F13" s="40">
        <v>45328</v>
      </c>
      <c r="H13" s="42" t="s">
        <v>182</v>
      </c>
      <c r="I13" s="156" cm="1">
        <f t="array" ref="I13">SUM(SUMIFS(E2:E18,B2:B18,{"telefon";"notebook"}))</f>
        <v>116984</v>
      </c>
    </row>
    <row r="14" spans="1:10" ht="19.8" x14ac:dyDescent="0.35">
      <c r="A14" s="37" t="s">
        <v>169</v>
      </c>
      <c r="B14" s="37" t="s">
        <v>61</v>
      </c>
      <c r="C14" s="38">
        <v>1802</v>
      </c>
      <c r="D14" s="37">
        <v>15</v>
      </c>
      <c r="E14" s="39">
        <v>27030</v>
      </c>
      <c r="F14" s="40">
        <v>45322</v>
      </c>
    </row>
    <row r="15" spans="1:10" ht="19.8" x14ac:dyDescent="0.45">
      <c r="A15" s="37" t="s">
        <v>183</v>
      </c>
      <c r="B15" s="37" t="s">
        <v>61</v>
      </c>
      <c r="C15" s="38">
        <v>938</v>
      </c>
      <c r="D15" s="37">
        <v>10</v>
      </c>
      <c r="E15" s="39">
        <v>9380</v>
      </c>
      <c r="F15" s="40">
        <v>45325</v>
      </c>
      <c r="H15" s="43" t="s">
        <v>184</v>
      </c>
      <c r="I15" s="36">
        <f>SUMIFS(E1:E18,B1:B18,"Telefon")</f>
        <v>77035</v>
      </c>
    </row>
    <row r="16" spans="1:10" ht="19.8" x14ac:dyDescent="0.35">
      <c r="A16" s="37" t="s">
        <v>183</v>
      </c>
      <c r="B16" s="37" t="s">
        <v>62</v>
      </c>
      <c r="C16" s="38">
        <v>652</v>
      </c>
      <c r="D16" s="37">
        <v>10</v>
      </c>
      <c r="E16" s="39">
        <v>6520</v>
      </c>
      <c r="F16" s="40">
        <v>45423</v>
      </c>
    </row>
    <row r="17" spans="1:6" ht="19.8" x14ac:dyDescent="0.35">
      <c r="A17" s="37" t="s">
        <v>169</v>
      </c>
      <c r="B17" s="37" t="s">
        <v>63</v>
      </c>
      <c r="C17" s="38">
        <v>1103</v>
      </c>
      <c r="D17" s="37">
        <v>12</v>
      </c>
      <c r="E17" s="39">
        <v>13236</v>
      </c>
      <c r="F17" s="40">
        <v>45418</v>
      </c>
    </row>
    <row r="18" spans="1:6" ht="19.8" x14ac:dyDescent="0.35">
      <c r="A18" s="37" t="s">
        <v>174</v>
      </c>
      <c r="B18" s="37" t="s">
        <v>177</v>
      </c>
      <c r="C18" s="38">
        <v>603</v>
      </c>
      <c r="D18" s="37">
        <v>20</v>
      </c>
      <c r="E18" s="39">
        <v>12060</v>
      </c>
      <c r="F18" s="40">
        <v>45343</v>
      </c>
    </row>
  </sheetData>
  <mergeCells count="1">
    <mergeCell ref="H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7061-6D2F-4D36-9641-F784108571F4}">
  <sheetPr>
    <tabColor rgb="FF00B050"/>
  </sheetPr>
  <dimension ref="A1:M201"/>
  <sheetViews>
    <sheetView workbookViewId="0">
      <selection activeCell="G1" sqref="G1:H1"/>
    </sheetView>
  </sheetViews>
  <sheetFormatPr defaultRowHeight="15.6" x14ac:dyDescent="0.3"/>
  <cols>
    <col min="1" max="2" width="19.21875" style="46" customWidth="1"/>
    <col min="3" max="3" width="19.21875" style="56" customWidth="1"/>
    <col min="4" max="5" width="19.21875" style="57" customWidth="1"/>
    <col min="6" max="6" width="8.88671875" style="46"/>
    <col min="7" max="7" width="20" style="46" bestFit="1" customWidth="1"/>
    <col min="8" max="8" width="26.6640625" style="46" customWidth="1"/>
    <col min="9" max="9" width="26.21875" style="46" customWidth="1"/>
    <col min="10" max="10" width="8.88671875" style="46"/>
    <col min="11" max="11" width="21.6640625" style="46" bestFit="1" customWidth="1"/>
    <col min="12" max="12" width="8.88671875" style="46"/>
    <col min="13" max="13" width="19" style="46" customWidth="1"/>
    <col min="14" max="16384" width="8.88671875" style="46"/>
  </cols>
  <sheetData>
    <row r="1" spans="1:13" ht="19.2" customHeight="1" x14ac:dyDescent="0.45">
      <c r="A1" s="44" t="s">
        <v>185</v>
      </c>
      <c r="B1" s="44" t="s">
        <v>67</v>
      </c>
      <c r="C1" s="44" t="s">
        <v>186</v>
      </c>
      <c r="D1" s="45" t="s">
        <v>164</v>
      </c>
      <c r="E1" s="45" t="s">
        <v>187</v>
      </c>
      <c r="G1" s="144" t="s">
        <v>188</v>
      </c>
      <c r="H1" s="144"/>
      <c r="I1"/>
      <c r="J1" s="36"/>
      <c r="K1" s="47" t="s">
        <v>189</v>
      </c>
      <c r="M1" s="48" t="s">
        <v>190</v>
      </c>
    </row>
    <row r="2" spans="1:13" ht="19.2" customHeight="1" x14ac:dyDescent="0.4">
      <c r="A2" s="49" t="s">
        <v>191</v>
      </c>
      <c r="B2" s="49" t="s">
        <v>192</v>
      </c>
      <c r="C2" s="50">
        <v>7</v>
      </c>
      <c r="D2" s="51">
        <v>728</v>
      </c>
      <c r="E2" s="51">
        <v>5096</v>
      </c>
      <c r="G2" s="52" t="s">
        <v>193</v>
      </c>
      <c r="H2" s="53" t="s">
        <v>194</v>
      </c>
      <c r="I2" s="36"/>
      <c r="J2" s="36"/>
      <c r="K2" s="54" t="s">
        <v>195</v>
      </c>
      <c r="M2" s="55">
        <f>COUNTIFS(K2:K21,"*sony*")</f>
        <v>5</v>
      </c>
    </row>
    <row r="3" spans="1:13" ht="17.399999999999999" x14ac:dyDescent="0.4">
      <c r="A3" s="49" t="s">
        <v>196</v>
      </c>
      <c r="B3" s="49" t="s">
        <v>169</v>
      </c>
      <c r="C3" s="50">
        <v>1</v>
      </c>
      <c r="D3" s="51">
        <v>1454</v>
      </c>
      <c r="E3" s="51">
        <v>1454</v>
      </c>
      <c r="G3" s="52" t="s">
        <v>197</v>
      </c>
      <c r="H3" s="49" t="s">
        <v>198</v>
      </c>
      <c r="J3" s="36"/>
      <c r="K3" s="54" t="s">
        <v>199</v>
      </c>
    </row>
    <row r="4" spans="1:13" ht="17.399999999999999" x14ac:dyDescent="0.4">
      <c r="A4" s="49" t="s">
        <v>200</v>
      </c>
      <c r="B4" s="49" t="s">
        <v>201</v>
      </c>
      <c r="C4" s="50">
        <v>8</v>
      </c>
      <c r="D4" s="51">
        <v>1124</v>
      </c>
      <c r="E4" s="51">
        <v>8992</v>
      </c>
      <c r="J4" s="36"/>
      <c r="K4" s="54" t="s">
        <v>202</v>
      </c>
    </row>
    <row r="5" spans="1:13" ht="19.8" x14ac:dyDescent="0.45">
      <c r="A5" s="49" t="s">
        <v>203</v>
      </c>
      <c r="B5" s="49" t="s">
        <v>2041</v>
      </c>
      <c r="C5" s="50">
        <v>1</v>
      </c>
      <c r="D5" s="51">
        <v>1003</v>
      </c>
      <c r="E5" s="51">
        <v>1003</v>
      </c>
      <c r="G5" s="41" t="s">
        <v>172</v>
      </c>
      <c r="H5" s="16" t="s">
        <v>204</v>
      </c>
      <c r="I5" s="36"/>
      <c r="J5" s="36"/>
      <c r="K5" s="54" t="s">
        <v>205</v>
      </c>
    </row>
    <row r="6" spans="1:13" ht="19.8" x14ac:dyDescent="0.45">
      <c r="A6" s="49" t="s">
        <v>206</v>
      </c>
      <c r="B6" s="49" t="s">
        <v>201</v>
      </c>
      <c r="C6" s="50">
        <v>4</v>
      </c>
      <c r="D6" s="51">
        <v>1292</v>
      </c>
      <c r="E6" s="51">
        <v>5168</v>
      </c>
      <c r="G6" s="42" t="s">
        <v>175</v>
      </c>
      <c r="H6" s="36">
        <f>SUMIFS(C2:C201,B2:B201,"*saat*")</f>
        <v>101</v>
      </c>
      <c r="I6" s="36"/>
      <c r="J6" s="36"/>
      <c r="K6" s="54" t="s">
        <v>207</v>
      </c>
    </row>
    <row r="7" spans="1:13" ht="17.399999999999999" x14ac:dyDescent="0.4">
      <c r="A7" s="49" t="s">
        <v>208</v>
      </c>
      <c r="B7" s="49" t="s">
        <v>169</v>
      </c>
      <c r="C7" s="50">
        <v>6</v>
      </c>
      <c r="D7" s="51">
        <v>864</v>
      </c>
      <c r="E7" s="51">
        <v>5184</v>
      </c>
      <c r="G7" s="36"/>
      <c r="H7" s="36"/>
      <c r="I7" s="36"/>
      <c r="J7" s="36"/>
      <c r="K7" s="54" t="s">
        <v>209</v>
      </c>
    </row>
    <row r="8" spans="1:13" ht="17.399999999999999" x14ac:dyDescent="0.4">
      <c r="A8" s="49" t="s">
        <v>210</v>
      </c>
      <c r="B8" s="49" t="s">
        <v>211</v>
      </c>
      <c r="C8" s="50">
        <v>10</v>
      </c>
      <c r="D8" s="51">
        <v>1116</v>
      </c>
      <c r="E8" s="51">
        <v>11160</v>
      </c>
      <c r="G8" s="36"/>
      <c r="H8" s="36"/>
      <c r="I8" s="36"/>
      <c r="J8" s="36"/>
      <c r="K8" s="54" t="s">
        <v>212</v>
      </c>
    </row>
    <row r="9" spans="1:13" ht="19.8" x14ac:dyDescent="0.45">
      <c r="A9" s="49" t="s">
        <v>213</v>
      </c>
      <c r="B9" s="49" t="s">
        <v>192</v>
      </c>
      <c r="C9" s="50">
        <v>10</v>
      </c>
      <c r="D9" s="51">
        <v>467</v>
      </c>
      <c r="E9" s="51">
        <v>4670</v>
      </c>
      <c r="G9" s="41" t="s">
        <v>172</v>
      </c>
      <c r="H9" s="16" t="s">
        <v>214</v>
      </c>
      <c r="I9" s="36"/>
      <c r="J9" s="36"/>
      <c r="K9" s="54" t="s">
        <v>215</v>
      </c>
    </row>
    <row r="10" spans="1:13" ht="19.8" x14ac:dyDescent="0.45">
      <c r="A10" s="49" t="s">
        <v>216</v>
      </c>
      <c r="B10" s="49" t="s">
        <v>201</v>
      </c>
      <c r="C10" s="50">
        <v>9</v>
      </c>
      <c r="D10" s="51">
        <v>1526</v>
      </c>
      <c r="E10" s="51">
        <v>13734</v>
      </c>
      <c r="G10" s="42" t="s">
        <v>175</v>
      </c>
      <c r="H10" s="36">
        <f>_xlfn.MAXIFS(D2:D201,B2:B201,"Gucci*")</f>
        <v>1726</v>
      </c>
      <c r="I10" s="36"/>
      <c r="J10" s="36"/>
      <c r="K10" s="54" t="s">
        <v>217</v>
      </c>
    </row>
    <row r="11" spans="1:13" ht="17.399999999999999" x14ac:dyDescent="0.4">
      <c r="A11" s="49" t="s">
        <v>218</v>
      </c>
      <c r="B11" s="49" t="s">
        <v>219</v>
      </c>
      <c r="C11" s="50">
        <v>3</v>
      </c>
      <c r="D11" s="51">
        <v>1734</v>
      </c>
      <c r="E11" s="51">
        <v>5202</v>
      </c>
      <c r="G11" s="36"/>
      <c r="H11" s="36"/>
      <c r="I11" s="36"/>
      <c r="J11" s="36"/>
      <c r="K11" s="54" t="s">
        <v>220</v>
      </c>
    </row>
    <row r="12" spans="1:13" ht="17.399999999999999" x14ac:dyDescent="0.4">
      <c r="A12" s="49" t="s">
        <v>221</v>
      </c>
      <c r="B12" s="49" t="s">
        <v>222</v>
      </c>
      <c r="C12" s="50">
        <v>7</v>
      </c>
      <c r="D12" s="51">
        <v>1798</v>
      </c>
      <c r="E12" s="51">
        <v>12586</v>
      </c>
      <c r="G12" s="36"/>
      <c r="H12" s="36"/>
      <c r="I12" s="36"/>
      <c r="J12" s="36"/>
      <c r="K12" s="54" t="s">
        <v>223</v>
      </c>
    </row>
    <row r="13" spans="1:13" ht="19.8" x14ac:dyDescent="0.45">
      <c r="A13" s="49" t="s">
        <v>224</v>
      </c>
      <c r="B13" s="49" t="s">
        <v>225</v>
      </c>
      <c r="C13" s="50">
        <v>6</v>
      </c>
      <c r="D13" s="51">
        <v>61</v>
      </c>
      <c r="E13" s="51">
        <v>366</v>
      </c>
      <c r="G13" s="41" t="s">
        <v>172</v>
      </c>
      <c r="H13" s="16" t="s">
        <v>226</v>
      </c>
      <c r="I13" s="36"/>
      <c r="K13" s="54" t="s">
        <v>227</v>
      </c>
    </row>
    <row r="14" spans="1:13" ht="19.8" x14ac:dyDescent="0.45">
      <c r="A14" s="49" t="s">
        <v>228</v>
      </c>
      <c r="B14" s="49" t="s">
        <v>219</v>
      </c>
      <c r="C14" s="50">
        <v>5</v>
      </c>
      <c r="D14" s="51">
        <v>1283</v>
      </c>
      <c r="E14" s="51">
        <v>6415</v>
      </c>
      <c r="G14" s="42" t="s">
        <v>180</v>
      </c>
      <c r="H14" s="36">
        <f>SUMIFS(E2:E201,B2:B201,"?phone?")</f>
        <v>158429</v>
      </c>
      <c r="I14" s="36"/>
      <c r="K14" s="54" t="s">
        <v>229</v>
      </c>
    </row>
    <row r="15" spans="1:13" ht="17.399999999999999" x14ac:dyDescent="0.4">
      <c r="A15" s="49" t="s">
        <v>230</v>
      </c>
      <c r="B15" s="49" t="s">
        <v>225</v>
      </c>
      <c r="C15" s="50">
        <v>4</v>
      </c>
      <c r="D15" s="51">
        <v>1508</v>
      </c>
      <c r="E15" s="51">
        <v>6032</v>
      </c>
      <c r="K15" s="54" t="s">
        <v>231</v>
      </c>
    </row>
    <row r="16" spans="1:13" ht="17.399999999999999" x14ac:dyDescent="0.4">
      <c r="A16" s="49" t="s">
        <v>232</v>
      </c>
      <c r="B16" s="49" t="s">
        <v>219</v>
      </c>
      <c r="C16" s="50">
        <v>7</v>
      </c>
      <c r="D16" s="51">
        <v>430</v>
      </c>
      <c r="E16" s="51">
        <v>3010</v>
      </c>
      <c r="K16" s="54" t="s">
        <v>233</v>
      </c>
    </row>
    <row r="17" spans="1:11" ht="17.399999999999999" x14ac:dyDescent="0.4">
      <c r="A17" s="49" t="s">
        <v>234</v>
      </c>
      <c r="B17" s="49" t="s">
        <v>219</v>
      </c>
      <c r="C17" s="50">
        <v>6</v>
      </c>
      <c r="D17" s="51">
        <v>112</v>
      </c>
      <c r="E17" s="51">
        <v>672</v>
      </c>
      <c r="K17" s="54" t="s">
        <v>235</v>
      </c>
    </row>
    <row r="18" spans="1:11" ht="17.399999999999999" x14ac:dyDescent="0.4">
      <c r="A18" s="49" t="s">
        <v>236</v>
      </c>
      <c r="B18" s="49" t="s">
        <v>237</v>
      </c>
      <c r="C18" s="50">
        <v>5</v>
      </c>
      <c r="D18" s="51">
        <v>1811</v>
      </c>
      <c r="E18" s="51">
        <v>9055</v>
      </c>
      <c r="K18" s="54" t="s">
        <v>238</v>
      </c>
    </row>
    <row r="19" spans="1:11" ht="17.399999999999999" x14ac:dyDescent="0.4">
      <c r="A19" s="49" t="s">
        <v>239</v>
      </c>
      <c r="B19" s="49" t="s">
        <v>211</v>
      </c>
      <c r="C19" s="50">
        <v>9</v>
      </c>
      <c r="D19" s="51">
        <v>1626</v>
      </c>
      <c r="E19" s="51">
        <v>14634</v>
      </c>
      <c r="K19" s="54" t="s">
        <v>240</v>
      </c>
    </row>
    <row r="20" spans="1:11" ht="17.399999999999999" x14ac:dyDescent="0.4">
      <c r="A20" s="49" t="s">
        <v>241</v>
      </c>
      <c r="B20" s="49" t="s">
        <v>219</v>
      </c>
      <c r="C20" s="50">
        <v>9</v>
      </c>
      <c r="D20" s="51">
        <v>240</v>
      </c>
      <c r="E20" s="51">
        <v>2160</v>
      </c>
      <c r="K20" s="54" t="s">
        <v>242</v>
      </c>
    </row>
    <row r="21" spans="1:11" ht="17.399999999999999" x14ac:dyDescent="0.4">
      <c r="A21" s="49" t="s">
        <v>243</v>
      </c>
      <c r="B21" s="49" t="s">
        <v>237</v>
      </c>
      <c r="C21" s="50">
        <v>3</v>
      </c>
      <c r="D21" s="51">
        <v>1305</v>
      </c>
      <c r="E21" s="51">
        <v>3915</v>
      </c>
      <c r="K21" s="54" t="s">
        <v>244</v>
      </c>
    </row>
    <row r="22" spans="1:11" x14ac:dyDescent="0.3">
      <c r="A22" s="49" t="s">
        <v>245</v>
      </c>
      <c r="B22" s="49" t="s">
        <v>192</v>
      </c>
      <c r="C22" s="50">
        <v>3</v>
      </c>
      <c r="D22" s="51">
        <v>1295</v>
      </c>
      <c r="E22" s="51">
        <v>3885</v>
      </c>
    </row>
    <row r="23" spans="1:11" x14ac:dyDescent="0.3">
      <c r="A23" s="49" t="s">
        <v>246</v>
      </c>
      <c r="B23" s="157" t="s">
        <v>2042</v>
      </c>
      <c r="C23" s="50">
        <v>2</v>
      </c>
      <c r="D23" s="51">
        <v>862</v>
      </c>
      <c r="E23" s="51">
        <v>1724</v>
      </c>
    </row>
    <row r="24" spans="1:11" x14ac:dyDescent="0.3">
      <c r="A24" s="49" t="s">
        <v>247</v>
      </c>
      <c r="B24" s="49" t="s">
        <v>211</v>
      </c>
      <c r="C24" s="50">
        <v>9</v>
      </c>
      <c r="D24" s="51">
        <v>1785</v>
      </c>
      <c r="E24" s="51">
        <v>16065</v>
      </c>
    </row>
    <row r="25" spans="1:11" x14ac:dyDescent="0.3">
      <c r="A25" s="49" t="s">
        <v>248</v>
      </c>
      <c r="B25" s="49" t="s">
        <v>192</v>
      </c>
      <c r="C25" s="50">
        <v>8</v>
      </c>
      <c r="D25" s="51">
        <v>1131</v>
      </c>
      <c r="E25" s="51">
        <v>9048</v>
      </c>
    </row>
    <row r="26" spans="1:11" x14ac:dyDescent="0.3">
      <c r="A26" s="49" t="s">
        <v>249</v>
      </c>
      <c r="B26" s="49" t="s">
        <v>275</v>
      </c>
      <c r="C26" s="50">
        <v>4</v>
      </c>
      <c r="D26" s="51">
        <v>960</v>
      </c>
      <c r="E26" s="51">
        <v>3840</v>
      </c>
    </row>
    <row r="27" spans="1:11" x14ac:dyDescent="0.3">
      <c r="A27" s="49" t="s">
        <v>251</v>
      </c>
      <c r="B27" s="49" t="s">
        <v>201</v>
      </c>
      <c r="C27" s="50">
        <v>7</v>
      </c>
      <c r="D27" s="51">
        <v>429</v>
      </c>
      <c r="E27" s="51">
        <v>3003</v>
      </c>
    </row>
    <row r="28" spans="1:11" x14ac:dyDescent="0.3">
      <c r="A28" s="49" t="s">
        <v>252</v>
      </c>
      <c r="B28" s="49" t="s">
        <v>253</v>
      </c>
      <c r="C28" s="50">
        <v>5</v>
      </c>
      <c r="D28" s="51">
        <v>159</v>
      </c>
      <c r="E28" s="51">
        <v>795</v>
      </c>
    </row>
    <row r="29" spans="1:11" x14ac:dyDescent="0.3">
      <c r="A29" s="49" t="s">
        <v>254</v>
      </c>
      <c r="B29" s="49" t="s">
        <v>169</v>
      </c>
      <c r="C29" s="50">
        <v>6</v>
      </c>
      <c r="D29" s="51">
        <v>980</v>
      </c>
      <c r="E29" s="51">
        <v>5880</v>
      </c>
    </row>
    <row r="30" spans="1:11" x14ac:dyDescent="0.3">
      <c r="A30" s="49" t="s">
        <v>255</v>
      </c>
      <c r="B30" s="49" t="s">
        <v>250</v>
      </c>
      <c r="C30" s="50">
        <v>1</v>
      </c>
      <c r="D30" s="51">
        <v>1563</v>
      </c>
      <c r="E30" s="51">
        <v>1563</v>
      </c>
    </row>
    <row r="31" spans="1:11" x14ac:dyDescent="0.3">
      <c r="A31" s="49" t="s">
        <v>256</v>
      </c>
      <c r="B31" s="49" t="s">
        <v>253</v>
      </c>
      <c r="C31" s="50">
        <v>5</v>
      </c>
      <c r="D31" s="51">
        <v>1211</v>
      </c>
      <c r="E31" s="51">
        <v>6055</v>
      </c>
    </row>
    <row r="32" spans="1:11" x14ac:dyDescent="0.3">
      <c r="A32" s="49" t="s">
        <v>257</v>
      </c>
      <c r="B32" s="49" t="s">
        <v>253</v>
      </c>
      <c r="C32" s="50">
        <v>7</v>
      </c>
      <c r="D32" s="51">
        <v>1349</v>
      </c>
      <c r="E32" s="51">
        <v>9443</v>
      </c>
    </row>
    <row r="33" spans="1:5" x14ac:dyDescent="0.3">
      <c r="A33" s="49" t="s">
        <v>258</v>
      </c>
      <c r="B33" s="49" t="s">
        <v>211</v>
      </c>
      <c r="C33" s="50">
        <v>3</v>
      </c>
      <c r="D33" s="51">
        <v>577</v>
      </c>
      <c r="E33" s="51">
        <v>1731</v>
      </c>
    </row>
    <row r="34" spans="1:5" x14ac:dyDescent="0.3">
      <c r="A34" s="49" t="s">
        <v>259</v>
      </c>
      <c r="B34" s="49" t="s">
        <v>253</v>
      </c>
      <c r="C34" s="50">
        <v>3</v>
      </c>
      <c r="D34" s="51">
        <v>582</v>
      </c>
      <c r="E34" s="51">
        <v>1746</v>
      </c>
    </row>
    <row r="35" spans="1:5" x14ac:dyDescent="0.3">
      <c r="A35" s="49" t="s">
        <v>260</v>
      </c>
      <c r="B35" s="49" t="s">
        <v>192</v>
      </c>
      <c r="C35" s="50">
        <v>6</v>
      </c>
      <c r="D35" s="51">
        <v>276</v>
      </c>
      <c r="E35" s="51">
        <v>1656</v>
      </c>
    </row>
    <row r="36" spans="1:5" x14ac:dyDescent="0.3">
      <c r="A36" s="49" t="s">
        <v>261</v>
      </c>
      <c r="B36" s="49" t="s">
        <v>192</v>
      </c>
      <c r="C36" s="50">
        <v>4</v>
      </c>
      <c r="D36" s="51">
        <v>503</v>
      </c>
      <c r="E36" s="51">
        <v>2012</v>
      </c>
    </row>
    <row r="37" spans="1:5" x14ac:dyDescent="0.3">
      <c r="A37" s="49" t="s">
        <v>262</v>
      </c>
      <c r="B37" s="49" t="s">
        <v>225</v>
      </c>
      <c r="C37" s="50">
        <v>7</v>
      </c>
      <c r="D37" s="51">
        <v>444</v>
      </c>
      <c r="E37" s="51">
        <v>3108</v>
      </c>
    </row>
    <row r="38" spans="1:5" x14ac:dyDescent="0.3">
      <c r="A38" s="49" t="s">
        <v>263</v>
      </c>
      <c r="B38" s="49" t="s">
        <v>169</v>
      </c>
      <c r="C38" s="50">
        <v>8</v>
      </c>
      <c r="D38" s="51">
        <v>1194</v>
      </c>
      <c r="E38" s="51">
        <v>9552</v>
      </c>
    </row>
    <row r="39" spans="1:5" x14ac:dyDescent="0.3">
      <c r="A39" s="49" t="s">
        <v>264</v>
      </c>
      <c r="B39" s="49" t="s">
        <v>192</v>
      </c>
      <c r="C39" s="50">
        <v>2</v>
      </c>
      <c r="D39" s="51">
        <v>1654</v>
      </c>
      <c r="E39" s="51">
        <v>3308</v>
      </c>
    </row>
    <row r="40" spans="1:5" x14ac:dyDescent="0.3">
      <c r="A40" s="49" t="s">
        <v>265</v>
      </c>
      <c r="B40" s="49" t="s">
        <v>222</v>
      </c>
      <c r="C40" s="50">
        <v>8</v>
      </c>
      <c r="D40" s="51">
        <v>1307</v>
      </c>
      <c r="E40" s="51">
        <v>10456</v>
      </c>
    </row>
    <row r="41" spans="1:5" x14ac:dyDescent="0.3">
      <c r="A41" s="49" t="s">
        <v>266</v>
      </c>
      <c r="B41" s="49" t="s">
        <v>253</v>
      </c>
      <c r="C41" s="50">
        <v>1</v>
      </c>
      <c r="D41" s="51">
        <v>1507</v>
      </c>
      <c r="E41" s="51">
        <v>1507</v>
      </c>
    </row>
    <row r="42" spans="1:5" x14ac:dyDescent="0.3">
      <c r="A42" s="49" t="s">
        <v>267</v>
      </c>
      <c r="B42" s="49" t="s">
        <v>192</v>
      </c>
      <c r="C42" s="50">
        <v>9</v>
      </c>
      <c r="D42" s="51">
        <v>473</v>
      </c>
      <c r="E42" s="51">
        <v>4257</v>
      </c>
    </row>
    <row r="43" spans="1:5" x14ac:dyDescent="0.3">
      <c r="A43" s="49" t="s">
        <v>268</v>
      </c>
      <c r="B43" s="49" t="s">
        <v>237</v>
      </c>
      <c r="C43" s="50">
        <v>2</v>
      </c>
      <c r="D43" s="51">
        <v>309</v>
      </c>
      <c r="E43" s="51">
        <v>618</v>
      </c>
    </row>
    <row r="44" spans="1:5" x14ac:dyDescent="0.3">
      <c r="A44" s="49" t="s">
        <v>269</v>
      </c>
      <c r="B44" s="49" t="s">
        <v>250</v>
      </c>
      <c r="C44" s="50">
        <v>9</v>
      </c>
      <c r="D44" s="51">
        <v>1215</v>
      </c>
      <c r="E44" s="51">
        <v>10935</v>
      </c>
    </row>
    <row r="45" spans="1:5" x14ac:dyDescent="0.3">
      <c r="A45" s="49" t="s">
        <v>270</v>
      </c>
      <c r="B45" s="49" t="s">
        <v>250</v>
      </c>
      <c r="C45" s="50">
        <v>6</v>
      </c>
      <c r="D45" s="51">
        <v>1066</v>
      </c>
      <c r="E45" s="51">
        <v>6396</v>
      </c>
    </row>
    <row r="46" spans="1:5" x14ac:dyDescent="0.3">
      <c r="A46" s="49" t="s">
        <v>271</v>
      </c>
      <c r="B46" s="49" t="s">
        <v>237</v>
      </c>
      <c r="C46" s="50">
        <v>8</v>
      </c>
      <c r="D46" s="51">
        <v>1901</v>
      </c>
      <c r="E46" s="51">
        <v>15208</v>
      </c>
    </row>
    <row r="47" spans="1:5" x14ac:dyDescent="0.3">
      <c r="A47" s="49" t="s">
        <v>272</v>
      </c>
      <c r="B47" s="49" t="s">
        <v>192</v>
      </c>
      <c r="C47" s="50">
        <v>10</v>
      </c>
      <c r="D47" s="51">
        <v>729</v>
      </c>
      <c r="E47" s="51">
        <v>7290</v>
      </c>
    </row>
    <row r="48" spans="1:5" x14ac:dyDescent="0.3">
      <c r="A48" s="49" t="s">
        <v>273</v>
      </c>
      <c r="B48" s="49" t="s">
        <v>225</v>
      </c>
      <c r="C48" s="50">
        <v>5</v>
      </c>
      <c r="D48" s="51">
        <v>1552</v>
      </c>
      <c r="E48" s="51">
        <v>7760</v>
      </c>
    </row>
    <row r="49" spans="1:5" x14ac:dyDescent="0.3">
      <c r="A49" s="49" t="s">
        <v>274</v>
      </c>
      <c r="B49" s="49" t="s">
        <v>275</v>
      </c>
      <c r="C49" s="50">
        <v>3</v>
      </c>
      <c r="D49" s="51">
        <v>1854</v>
      </c>
      <c r="E49" s="51">
        <v>5562</v>
      </c>
    </row>
    <row r="50" spans="1:5" x14ac:dyDescent="0.3">
      <c r="A50" s="49" t="s">
        <v>276</v>
      </c>
      <c r="B50" s="49" t="s">
        <v>275</v>
      </c>
      <c r="C50" s="50">
        <v>2</v>
      </c>
      <c r="D50" s="51">
        <v>1812</v>
      </c>
      <c r="E50" s="51">
        <v>3624</v>
      </c>
    </row>
    <row r="51" spans="1:5" x14ac:dyDescent="0.3">
      <c r="A51" s="49" t="s">
        <v>277</v>
      </c>
      <c r="B51" s="49" t="s">
        <v>275</v>
      </c>
      <c r="C51" s="50">
        <v>6</v>
      </c>
      <c r="D51" s="51">
        <v>702</v>
      </c>
      <c r="E51" s="51">
        <v>4212</v>
      </c>
    </row>
    <row r="52" spans="1:5" x14ac:dyDescent="0.3">
      <c r="A52" s="49" t="s">
        <v>278</v>
      </c>
      <c r="B52" s="49" t="s">
        <v>219</v>
      </c>
      <c r="C52" s="50">
        <v>10</v>
      </c>
      <c r="D52" s="51">
        <v>274</v>
      </c>
      <c r="E52" s="51">
        <v>2740</v>
      </c>
    </row>
    <row r="53" spans="1:5" x14ac:dyDescent="0.3">
      <c r="A53" s="49" t="s">
        <v>279</v>
      </c>
      <c r="B53" s="49" t="s">
        <v>219</v>
      </c>
      <c r="C53" s="50">
        <v>3</v>
      </c>
      <c r="D53" s="51">
        <v>1700</v>
      </c>
      <c r="E53" s="51">
        <v>5100</v>
      </c>
    </row>
    <row r="54" spans="1:5" x14ac:dyDescent="0.3">
      <c r="A54" s="49" t="s">
        <v>280</v>
      </c>
      <c r="B54" s="49" t="s">
        <v>201</v>
      </c>
      <c r="C54" s="50">
        <v>2</v>
      </c>
      <c r="D54" s="51">
        <v>1015</v>
      </c>
      <c r="E54" s="51">
        <v>2030</v>
      </c>
    </row>
    <row r="55" spans="1:5" x14ac:dyDescent="0.3">
      <c r="A55" s="49" t="s">
        <v>281</v>
      </c>
      <c r="B55" s="49" t="s">
        <v>192</v>
      </c>
      <c r="C55" s="50">
        <v>10</v>
      </c>
      <c r="D55" s="51">
        <v>92</v>
      </c>
      <c r="E55" s="51">
        <v>920</v>
      </c>
    </row>
    <row r="56" spans="1:5" x14ac:dyDescent="0.3">
      <c r="A56" s="49" t="s">
        <v>282</v>
      </c>
      <c r="B56" s="49" t="s">
        <v>201</v>
      </c>
      <c r="C56" s="50">
        <v>3</v>
      </c>
      <c r="D56" s="51">
        <v>847</v>
      </c>
      <c r="E56" s="51">
        <v>2541</v>
      </c>
    </row>
    <row r="57" spans="1:5" x14ac:dyDescent="0.3">
      <c r="A57" s="49" t="s">
        <v>283</v>
      </c>
      <c r="B57" s="49" t="s">
        <v>237</v>
      </c>
      <c r="C57" s="50">
        <v>8</v>
      </c>
      <c r="D57" s="51">
        <v>1549</v>
      </c>
      <c r="E57" s="51">
        <v>12392</v>
      </c>
    </row>
    <row r="58" spans="1:5" x14ac:dyDescent="0.3">
      <c r="A58" s="49" t="s">
        <v>284</v>
      </c>
      <c r="B58" s="49" t="s">
        <v>201</v>
      </c>
      <c r="C58" s="50">
        <v>4</v>
      </c>
      <c r="D58" s="51">
        <v>774</v>
      </c>
      <c r="E58" s="51">
        <v>3096</v>
      </c>
    </row>
    <row r="59" spans="1:5" x14ac:dyDescent="0.3">
      <c r="A59" s="49" t="s">
        <v>285</v>
      </c>
      <c r="B59" s="49" t="s">
        <v>192</v>
      </c>
      <c r="C59" s="50">
        <v>1</v>
      </c>
      <c r="D59" s="51">
        <v>1619</v>
      </c>
      <c r="E59" s="51">
        <v>1619</v>
      </c>
    </row>
    <row r="60" spans="1:5" x14ac:dyDescent="0.3">
      <c r="A60" s="49" t="s">
        <v>286</v>
      </c>
      <c r="B60" s="49" t="s">
        <v>250</v>
      </c>
      <c r="C60" s="50">
        <v>6</v>
      </c>
      <c r="D60" s="51">
        <v>1553</v>
      </c>
      <c r="E60" s="51">
        <v>9318</v>
      </c>
    </row>
    <row r="61" spans="1:5" x14ac:dyDescent="0.3">
      <c r="A61" s="49" t="s">
        <v>287</v>
      </c>
      <c r="B61" s="49" t="s">
        <v>250</v>
      </c>
      <c r="C61" s="50">
        <v>10</v>
      </c>
      <c r="D61" s="51">
        <v>972</v>
      </c>
      <c r="E61" s="51">
        <v>9720</v>
      </c>
    </row>
    <row r="62" spans="1:5" x14ac:dyDescent="0.3">
      <c r="A62" s="49" t="s">
        <v>288</v>
      </c>
      <c r="B62" s="49" t="s">
        <v>169</v>
      </c>
      <c r="C62" s="50">
        <v>10</v>
      </c>
      <c r="D62" s="51">
        <v>128</v>
      </c>
      <c r="E62" s="51">
        <v>1280</v>
      </c>
    </row>
    <row r="63" spans="1:5" x14ac:dyDescent="0.3">
      <c r="A63" s="49" t="s">
        <v>289</v>
      </c>
      <c r="B63" s="49" t="s">
        <v>219</v>
      </c>
      <c r="C63" s="50">
        <v>9</v>
      </c>
      <c r="D63" s="51">
        <v>1851</v>
      </c>
      <c r="E63" s="51">
        <v>16659</v>
      </c>
    </row>
    <row r="64" spans="1:5" x14ac:dyDescent="0.3">
      <c r="A64" s="49" t="s">
        <v>290</v>
      </c>
      <c r="B64" s="49" t="s">
        <v>219</v>
      </c>
      <c r="C64" s="50">
        <v>2</v>
      </c>
      <c r="D64" s="51">
        <v>1568</v>
      </c>
      <c r="E64" s="51">
        <v>3136</v>
      </c>
    </row>
    <row r="65" spans="1:5" x14ac:dyDescent="0.3">
      <c r="A65" s="49" t="s">
        <v>291</v>
      </c>
      <c r="B65" s="49" t="s">
        <v>237</v>
      </c>
      <c r="C65" s="50">
        <v>4</v>
      </c>
      <c r="D65" s="51">
        <v>338</v>
      </c>
      <c r="E65" s="51">
        <v>1352</v>
      </c>
    </row>
    <row r="66" spans="1:5" x14ac:dyDescent="0.3">
      <c r="A66" s="49" t="s">
        <v>292</v>
      </c>
      <c r="B66" s="49" t="s">
        <v>211</v>
      </c>
      <c r="C66" s="50">
        <v>4</v>
      </c>
      <c r="D66" s="51">
        <v>111</v>
      </c>
      <c r="E66" s="51">
        <v>444</v>
      </c>
    </row>
    <row r="67" spans="1:5" x14ac:dyDescent="0.3">
      <c r="A67" s="49" t="s">
        <v>293</v>
      </c>
      <c r="B67" s="49" t="s">
        <v>211</v>
      </c>
      <c r="C67" s="50">
        <v>7</v>
      </c>
      <c r="D67" s="51">
        <v>671</v>
      </c>
      <c r="E67" s="51">
        <v>4697</v>
      </c>
    </row>
    <row r="68" spans="1:5" x14ac:dyDescent="0.3">
      <c r="A68" s="49" t="s">
        <v>294</v>
      </c>
      <c r="B68" s="49" t="s">
        <v>219</v>
      </c>
      <c r="C68" s="50">
        <v>9</v>
      </c>
      <c r="D68" s="51">
        <v>95</v>
      </c>
      <c r="E68" s="51">
        <v>855</v>
      </c>
    </row>
    <row r="69" spans="1:5" x14ac:dyDescent="0.3">
      <c r="A69" s="49" t="s">
        <v>295</v>
      </c>
      <c r="B69" s="49" t="s">
        <v>201</v>
      </c>
      <c r="C69" s="50">
        <v>5</v>
      </c>
      <c r="D69" s="51">
        <v>661</v>
      </c>
      <c r="E69" s="51">
        <v>3305</v>
      </c>
    </row>
    <row r="70" spans="1:5" x14ac:dyDescent="0.3">
      <c r="A70" s="49" t="s">
        <v>296</v>
      </c>
      <c r="B70" s="49" t="s">
        <v>225</v>
      </c>
      <c r="C70" s="50">
        <v>1</v>
      </c>
      <c r="D70" s="51">
        <v>1283</v>
      </c>
      <c r="E70" s="51">
        <v>1283</v>
      </c>
    </row>
    <row r="71" spans="1:5" x14ac:dyDescent="0.3">
      <c r="A71" s="49" t="s">
        <v>297</v>
      </c>
      <c r="B71" s="49" t="s">
        <v>225</v>
      </c>
      <c r="C71" s="50">
        <v>8</v>
      </c>
      <c r="D71" s="51">
        <v>1704</v>
      </c>
      <c r="E71" s="51">
        <v>13632</v>
      </c>
    </row>
    <row r="72" spans="1:5" x14ac:dyDescent="0.3">
      <c r="A72" s="49" t="s">
        <v>298</v>
      </c>
      <c r="B72" s="49" t="s">
        <v>219</v>
      </c>
      <c r="C72" s="50">
        <v>5</v>
      </c>
      <c r="D72" s="51">
        <v>757</v>
      </c>
      <c r="E72" s="51">
        <v>3785</v>
      </c>
    </row>
    <row r="73" spans="1:5" x14ac:dyDescent="0.3">
      <c r="A73" s="49" t="s">
        <v>299</v>
      </c>
      <c r="B73" s="49" t="s">
        <v>250</v>
      </c>
      <c r="C73" s="50">
        <v>1</v>
      </c>
      <c r="D73" s="51">
        <v>284</v>
      </c>
      <c r="E73" s="51">
        <v>284</v>
      </c>
    </row>
    <row r="74" spans="1:5" x14ac:dyDescent="0.3">
      <c r="A74" s="49" t="s">
        <v>300</v>
      </c>
      <c r="B74" s="49" t="s">
        <v>253</v>
      </c>
      <c r="C74" s="50">
        <v>4</v>
      </c>
      <c r="D74" s="51">
        <v>342</v>
      </c>
      <c r="E74" s="51">
        <v>1368</v>
      </c>
    </row>
    <row r="75" spans="1:5" x14ac:dyDescent="0.3">
      <c r="A75" s="49" t="s">
        <v>301</v>
      </c>
      <c r="B75" s="49" t="s">
        <v>222</v>
      </c>
      <c r="C75" s="50">
        <v>9</v>
      </c>
      <c r="D75" s="51">
        <v>1258</v>
      </c>
      <c r="E75" s="51">
        <v>11322</v>
      </c>
    </row>
    <row r="76" spans="1:5" x14ac:dyDescent="0.3">
      <c r="A76" s="49" t="s">
        <v>302</v>
      </c>
      <c r="B76" s="49" t="s">
        <v>237</v>
      </c>
      <c r="C76" s="50">
        <v>6</v>
      </c>
      <c r="D76" s="51">
        <v>256</v>
      </c>
      <c r="E76" s="51">
        <v>1536</v>
      </c>
    </row>
    <row r="77" spans="1:5" x14ac:dyDescent="0.3">
      <c r="A77" s="49" t="s">
        <v>303</v>
      </c>
      <c r="B77" s="49" t="s">
        <v>211</v>
      </c>
      <c r="C77" s="50">
        <v>1</v>
      </c>
      <c r="D77" s="51">
        <v>1566</v>
      </c>
      <c r="E77" s="51">
        <v>1566</v>
      </c>
    </row>
    <row r="78" spans="1:5" x14ac:dyDescent="0.3">
      <c r="A78" s="49" t="s">
        <v>304</v>
      </c>
      <c r="B78" s="49" t="s">
        <v>222</v>
      </c>
      <c r="C78" s="50">
        <v>6</v>
      </c>
      <c r="D78" s="51">
        <v>366</v>
      </c>
      <c r="E78" s="51">
        <v>2196</v>
      </c>
    </row>
    <row r="79" spans="1:5" x14ac:dyDescent="0.3">
      <c r="A79" s="49" t="s">
        <v>305</v>
      </c>
      <c r="B79" s="49" t="s">
        <v>219</v>
      </c>
      <c r="C79" s="50">
        <v>9</v>
      </c>
      <c r="D79" s="51">
        <v>220</v>
      </c>
      <c r="E79" s="51">
        <v>1980</v>
      </c>
    </row>
    <row r="80" spans="1:5" x14ac:dyDescent="0.3">
      <c r="A80" s="49" t="s">
        <v>306</v>
      </c>
      <c r="B80" s="49" t="s">
        <v>211</v>
      </c>
      <c r="C80" s="50">
        <v>10</v>
      </c>
      <c r="D80" s="51">
        <v>668</v>
      </c>
      <c r="E80" s="51">
        <v>6680</v>
      </c>
    </row>
    <row r="81" spans="1:5" x14ac:dyDescent="0.3">
      <c r="A81" s="49" t="s">
        <v>307</v>
      </c>
      <c r="B81" s="49" t="s">
        <v>219</v>
      </c>
      <c r="C81" s="50">
        <v>4</v>
      </c>
      <c r="D81" s="51">
        <v>1407</v>
      </c>
      <c r="E81" s="51">
        <v>5628</v>
      </c>
    </row>
    <row r="82" spans="1:5" x14ac:dyDescent="0.3">
      <c r="A82" s="49" t="s">
        <v>308</v>
      </c>
      <c r="B82" s="49" t="s">
        <v>219</v>
      </c>
      <c r="C82" s="50">
        <v>6</v>
      </c>
      <c r="D82" s="51">
        <v>276</v>
      </c>
      <c r="E82" s="51">
        <v>1656</v>
      </c>
    </row>
    <row r="83" spans="1:5" x14ac:dyDescent="0.3">
      <c r="A83" s="49" t="s">
        <v>309</v>
      </c>
      <c r="B83" s="49" t="s">
        <v>201</v>
      </c>
      <c r="C83" s="50">
        <v>5</v>
      </c>
      <c r="D83" s="51">
        <v>807</v>
      </c>
      <c r="E83" s="51">
        <v>4035</v>
      </c>
    </row>
    <row r="84" spans="1:5" x14ac:dyDescent="0.3">
      <c r="A84" s="49" t="s">
        <v>310</v>
      </c>
      <c r="B84" s="49" t="s">
        <v>253</v>
      </c>
      <c r="C84" s="50">
        <v>3</v>
      </c>
      <c r="D84" s="51">
        <v>1995</v>
      </c>
      <c r="E84" s="51">
        <v>5985</v>
      </c>
    </row>
    <row r="85" spans="1:5" x14ac:dyDescent="0.3">
      <c r="A85" s="49" t="s">
        <v>311</v>
      </c>
      <c r="B85" s="49" t="s">
        <v>192</v>
      </c>
      <c r="C85" s="50">
        <v>2</v>
      </c>
      <c r="D85" s="51">
        <v>1736</v>
      </c>
      <c r="E85" s="51">
        <v>3472</v>
      </c>
    </row>
    <row r="86" spans="1:5" x14ac:dyDescent="0.3">
      <c r="A86" s="49" t="s">
        <v>312</v>
      </c>
      <c r="B86" s="49" t="s">
        <v>222</v>
      </c>
      <c r="C86" s="50">
        <v>8</v>
      </c>
      <c r="D86" s="51">
        <v>1481</v>
      </c>
      <c r="E86" s="51">
        <v>11848</v>
      </c>
    </row>
    <row r="87" spans="1:5" x14ac:dyDescent="0.3">
      <c r="A87" s="49" t="s">
        <v>313</v>
      </c>
      <c r="B87" s="49" t="s">
        <v>253</v>
      </c>
      <c r="C87" s="50">
        <v>5</v>
      </c>
      <c r="D87" s="51">
        <v>1076</v>
      </c>
      <c r="E87" s="51">
        <v>5380</v>
      </c>
    </row>
    <row r="88" spans="1:5" x14ac:dyDescent="0.3">
      <c r="A88" s="49" t="s">
        <v>314</v>
      </c>
      <c r="B88" s="49" t="s">
        <v>219</v>
      </c>
      <c r="C88" s="50">
        <v>1</v>
      </c>
      <c r="D88" s="51">
        <v>588</v>
      </c>
      <c r="E88" s="51">
        <v>588</v>
      </c>
    </row>
    <row r="89" spans="1:5" x14ac:dyDescent="0.3">
      <c r="A89" s="49" t="s">
        <v>315</v>
      </c>
      <c r="B89" s="49" t="s">
        <v>169</v>
      </c>
      <c r="C89" s="50">
        <v>10</v>
      </c>
      <c r="D89" s="51">
        <v>1555</v>
      </c>
      <c r="E89" s="51">
        <v>15550</v>
      </c>
    </row>
    <row r="90" spans="1:5" x14ac:dyDescent="0.3">
      <c r="A90" s="49" t="s">
        <v>316</v>
      </c>
      <c r="B90" s="49" t="s">
        <v>192</v>
      </c>
      <c r="C90" s="50">
        <v>4</v>
      </c>
      <c r="D90" s="51">
        <v>774</v>
      </c>
      <c r="E90" s="51">
        <v>3096</v>
      </c>
    </row>
    <row r="91" spans="1:5" x14ac:dyDescent="0.3">
      <c r="A91" s="49" t="s">
        <v>317</v>
      </c>
      <c r="B91" s="49" t="s">
        <v>169</v>
      </c>
      <c r="C91" s="50">
        <v>7</v>
      </c>
      <c r="D91" s="51">
        <v>771</v>
      </c>
      <c r="E91" s="51">
        <v>5397</v>
      </c>
    </row>
    <row r="92" spans="1:5" x14ac:dyDescent="0.3">
      <c r="A92" s="49" t="s">
        <v>318</v>
      </c>
      <c r="B92" s="49" t="s">
        <v>222</v>
      </c>
      <c r="C92" s="50">
        <v>9</v>
      </c>
      <c r="D92" s="51">
        <v>1349</v>
      </c>
      <c r="E92" s="51">
        <v>12141</v>
      </c>
    </row>
    <row r="93" spans="1:5" x14ac:dyDescent="0.3">
      <c r="A93" s="49" t="s">
        <v>319</v>
      </c>
      <c r="B93" s="49" t="s">
        <v>253</v>
      </c>
      <c r="C93" s="50">
        <v>9</v>
      </c>
      <c r="D93" s="51">
        <v>788</v>
      </c>
      <c r="E93" s="51">
        <v>7092</v>
      </c>
    </row>
    <row r="94" spans="1:5" x14ac:dyDescent="0.3">
      <c r="A94" s="49" t="s">
        <v>320</v>
      </c>
      <c r="B94" s="49" t="s">
        <v>250</v>
      </c>
      <c r="C94" s="50">
        <v>7</v>
      </c>
      <c r="D94" s="51">
        <v>404</v>
      </c>
      <c r="E94" s="51">
        <v>2828</v>
      </c>
    </row>
    <row r="95" spans="1:5" x14ac:dyDescent="0.3">
      <c r="A95" s="49" t="s">
        <v>321</v>
      </c>
      <c r="B95" s="49" t="s">
        <v>225</v>
      </c>
      <c r="C95" s="50">
        <v>6</v>
      </c>
      <c r="D95" s="51">
        <v>1818</v>
      </c>
      <c r="E95" s="51">
        <v>10908</v>
      </c>
    </row>
    <row r="96" spans="1:5" x14ac:dyDescent="0.3">
      <c r="A96" s="49" t="s">
        <v>322</v>
      </c>
      <c r="B96" s="49" t="s">
        <v>211</v>
      </c>
      <c r="C96" s="50">
        <v>4</v>
      </c>
      <c r="D96" s="51">
        <v>675</v>
      </c>
      <c r="E96" s="51">
        <v>2700</v>
      </c>
    </row>
    <row r="97" spans="1:5" x14ac:dyDescent="0.3">
      <c r="A97" s="49" t="s">
        <v>323</v>
      </c>
      <c r="B97" s="49" t="s">
        <v>250</v>
      </c>
      <c r="C97" s="50">
        <v>4</v>
      </c>
      <c r="D97" s="51">
        <v>1526</v>
      </c>
      <c r="E97" s="51">
        <v>6104</v>
      </c>
    </row>
    <row r="98" spans="1:5" x14ac:dyDescent="0.3">
      <c r="A98" s="49" t="s">
        <v>324</v>
      </c>
      <c r="B98" s="49" t="s">
        <v>211</v>
      </c>
      <c r="C98" s="50">
        <v>9</v>
      </c>
      <c r="D98" s="51">
        <v>455</v>
      </c>
      <c r="E98" s="51">
        <v>4095</v>
      </c>
    </row>
    <row r="99" spans="1:5" x14ac:dyDescent="0.3">
      <c r="A99" s="49" t="s">
        <v>325</v>
      </c>
      <c r="B99" s="49" t="s">
        <v>237</v>
      </c>
      <c r="C99" s="50">
        <v>2</v>
      </c>
      <c r="D99" s="51">
        <v>1292</v>
      </c>
      <c r="E99" s="51">
        <v>2584</v>
      </c>
    </row>
    <row r="100" spans="1:5" x14ac:dyDescent="0.3">
      <c r="A100" s="49" t="s">
        <v>326</v>
      </c>
      <c r="B100" s="49" t="s">
        <v>225</v>
      </c>
      <c r="C100" s="50">
        <v>2</v>
      </c>
      <c r="D100" s="51">
        <v>1669</v>
      </c>
      <c r="E100" s="51">
        <v>3338</v>
      </c>
    </row>
    <row r="101" spans="1:5" x14ac:dyDescent="0.3">
      <c r="A101" s="49" t="s">
        <v>327</v>
      </c>
      <c r="B101" s="49" t="s">
        <v>192</v>
      </c>
      <c r="C101" s="50">
        <v>5</v>
      </c>
      <c r="D101" s="51">
        <v>387</v>
      </c>
      <c r="E101" s="51">
        <v>1935</v>
      </c>
    </row>
    <row r="102" spans="1:5" x14ac:dyDescent="0.3">
      <c r="A102" s="49" t="s">
        <v>328</v>
      </c>
      <c r="B102" s="49" t="s">
        <v>211</v>
      </c>
      <c r="C102" s="50">
        <v>7</v>
      </c>
      <c r="D102" s="51">
        <v>192</v>
      </c>
      <c r="E102" s="51">
        <v>1344</v>
      </c>
    </row>
    <row r="103" spans="1:5" x14ac:dyDescent="0.3">
      <c r="A103" s="49" t="s">
        <v>329</v>
      </c>
      <c r="B103" s="49" t="s">
        <v>250</v>
      </c>
      <c r="C103" s="50">
        <v>9</v>
      </c>
      <c r="D103" s="51">
        <v>1037</v>
      </c>
      <c r="E103" s="51">
        <v>9333</v>
      </c>
    </row>
    <row r="104" spans="1:5" x14ac:dyDescent="0.3">
      <c r="A104" s="49" t="s">
        <v>330</v>
      </c>
      <c r="B104" s="49" t="s">
        <v>253</v>
      </c>
      <c r="C104" s="50">
        <v>10</v>
      </c>
      <c r="D104" s="51">
        <v>1740</v>
      </c>
      <c r="E104" s="51">
        <v>17400</v>
      </c>
    </row>
    <row r="105" spans="1:5" x14ac:dyDescent="0.3">
      <c r="A105" s="49" t="s">
        <v>331</v>
      </c>
      <c r="B105" s="49" t="s">
        <v>222</v>
      </c>
      <c r="C105" s="50">
        <v>2</v>
      </c>
      <c r="D105" s="51">
        <v>372</v>
      </c>
      <c r="E105" s="51">
        <v>744</v>
      </c>
    </row>
    <row r="106" spans="1:5" x14ac:dyDescent="0.3">
      <c r="A106" s="49" t="s">
        <v>332</v>
      </c>
      <c r="B106" s="49" t="s">
        <v>225</v>
      </c>
      <c r="C106" s="50">
        <v>8</v>
      </c>
      <c r="D106" s="51">
        <v>847</v>
      </c>
      <c r="E106" s="51">
        <v>6776</v>
      </c>
    </row>
    <row r="107" spans="1:5" x14ac:dyDescent="0.3">
      <c r="A107" s="49" t="s">
        <v>333</v>
      </c>
      <c r="B107" s="49" t="s">
        <v>201</v>
      </c>
      <c r="C107" s="50">
        <v>6</v>
      </c>
      <c r="D107" s="51">
        <v>1353</v>
      </c>
      <c r="E107" s="51">
        <v>8118</v>
      </c>
    </row>
    <row r="108" spans="1:5" x14ac:dyDescent="0.3">
      <c r="A108" s="49" t="s">
        <v>334</v>
      </c>
      <c r="B108" s="49" t="s">
        <v>211</v>
      </c>
      <c r="C108" s="50">
        <v>1</v>
      </c>
      <c r="D108" s="51">
        <v>1570</v>
      </c>
      <c r="E108" s="51">
        <v>1570</v>
      </c>
    </row>
    <row r="109" spans="1:5" x14ac:dyDescent="0.3">
      <c r="A109" s="49" t="s">
        <v>335</v>
      </c>
      <c r="B109" s="49" t="s">
        <v>222</v>
      </c>
      <c r="C109" s="50">
        <v>10</v>
      </c>
      <c r="D109" s="51">
        <v>98</v>
      </c>
      <c r="E109" s="51">
        <v>980</v>
      </c>
    </row>
    <row r="110" spans="1:5" x14ac:dyDescent="0.3">
      <c r="A110" s="49" t="s">
        <v>336</v>
      </c>
      <c r="B110" s="49" t="s">
        <v>250</v>
      </c>
      <c r="C110" s="50">
        <v>4</v>
      </c>
      <c r="D110" s="51">
        <v>1908</v>
      </c>
      <c r="E110" s="51">
        <v>7632</v>
      </c>
    </row>
    <row r="111" spans="1:5" x14ac:dyDescent="0.3">
      <c r="A111" s="49" t="s">
        <v>337</v>
      </c>
      <c r="B111" s="49" t="s">
        <v>222</v>
      </c>
      <c r="C111" s="50">
        <v>1</v>
      </c>
      <c r="D111" s="51">
        <v>979</v>
      </c>
      <c r="E111" s="51">
        <v>979</v>
      </c>
    </row>
    <row r="112" spans="1:5" x14ac:dyDescent="0.3">
      <c r="A112" s="49" t="s">
        <v>338</v>
      </c>
      <c r="B112" s="49" t="s">
        <v>219</v>
      </c>
      <c r="C112" s="50">
        <v>1</v>
      </c>
      <c r="D112" s="51">
        <v>1208</v>
      </c>
      <c r="E112" s="51">
        <v>1208</v>
      </c>
    </row>
    <row r="113" spans="1:5" x14ac:dyDescent="0.3">
      <c r="A113" s="49" t="s">
        <v>339</v>
      </c>
      <c r="B113" s="49" t="s">
        <v>219</v>
      </c>
      <c r="C113" s="50">
        <v>8</v>
      </c>
      <c r="D113" s="51">
        <v>948</v>
      </c>
      <c r="E113" s="51">
        <v>7584</v>
      </c>
    </row>
    <row r="114" spans="1:5" x14ac:dyDescent="0.3">
      <c r="A114" s="49" t="s">
        <v>340</v>
      </c>
      <c r="B114" s="49" t="s">
        <v>222</v>
      </c>
      <c r="C114" s="50">
        <v>6</v>
      </c>
      <c r="D114" s="51">
        <v>589</v>
      </c>
      <c r="E114" s="51">
        <v>3534</v>
      </c>
    </row>
    <row r="115" spans="1:5" x14ac:dyDescent="0.3">
      <c r="A115" s="49" t="s">
        <v>341</v>
      </c>
      <c r="B115" s="49" t="s">
        <v>250</v>
      </c>
      <c r="C115" s="50">
        <v>3</v>
      </c>
      <c r="D115" s="51">
        <v>1396</v>
      </c>
      <c r="E115" s="51">
        <v>4188</v>
      </c>
    </row>
    <row r="116" spans="1:5" x14ac:dyDescent="0.3">
      <c r="A116" s="49" t="s">
        <v>342</v>
      </c>
      <c r="B116" s="49" t="s">
        <v>169</v>
      </c>
      <c r="C116" s="50">
        <v>8</v>
      </c>
      <c r="D116" s="51">
        <v>639</v>
      </c>
      <c r="E116" s="51">
        <v>5112</v>
      </c>
    </row>
    <row r="117" spans="1:5" x14ac:dyDescent="0.3">
      <c r="A117" s="49" t="s">
        <v>343</v>
      </c>
      <c r="B117" s="49" t="s">
        <v>253</v>
      </c>
      <c r="C117" s="50">
        <v>9</v>
      </c>
      <c r="D117" s="51">
        <v>731</v>
      </c>
      <c r="E117" s="51">
        <v>6579</v>
      </c>
    </row>
    <row r="118" spans="1:5" x14ac:dyDescent="0.3">
      <c r="A118" s="49" t="s">
        <v>344</v>
      </c>
      <c r="B118" s="49" t="s">
        <v>211</v>
      </c>
      <c r="C118" s="50">
        <v>6</v>
      </c>
      <c r="D118" s="51">
        <v>248</v>
      </c>
      <c r="E118" s="51">
        <v>1488</v>
      </c>
    </row>
    <row r="119" spans="1:5" x14ac:dyDescent="0.3">
      <c r="A119" s="49" t="s">
        <v>345</v>
      </c>
      <c r="B119" s="49" t="s">
        <v>237</v>
      </c>
      <c r="C119" s="50">
        <v>1</v>
      </c>
      <c r="D119" s="51">
        <v>1822</v>
      </c>
      <c r="E119" s="51">
        <v>1822</v>
      </c>
    </row>
    <row r="120" spans="1:5" x14ac:dyDescent="0.3">
      <c r="A120" s="49" t="s">
        <v>346</v>
      </c>
      <c r="B120" s="49" t="s">
        <v>192</v>
      </c>
      <c r="C120" s="50">
        <v>6</v>
      </c>
      <c r="D120" s="51">
        <v>1548</v>
      </c>
      <c r="E120" s="51">
        <v>9288</v>
      </c>
    </row>
    <row r="121" spans="1:5" x14ac:dyDescent="0.3">
      <c r="A121" s="49" t="s">
        <v>347</v>
      </c>
      <c r="B121" s="49" t="s">
        <v>225</v>
      </c>
      <c r="C121" s="50">
        <v>10</v>
      </c>
      <c r="D121" s="51">
        <v>589</v>
      </c>
      <c r="E121" s="51">
        <v>5890</v>
      </c>
    </row>
    <row r="122" spans="1:5" x14ac:dyDescent="0.3">
      <c r="A122" s="49" t="s">
        <v>348</v>
      </c>
      <c r="B122" s="49" t="s">
        <v>253</v>
      </c>
      <c r="C122" s="50">
        <v>8</v>
      </c>
      <c r="D122" s="51">
        <v>85</v>
      </c>
      <c r="E122" s="51">
        <v>680</v>
      </c>
    </row>
    <row r="123" spans="1:5" x14ac:dyDescent="0.3">
      <c r="A123" s="49" t="s">
        <v>349</v>
      </c>
      <c r="B123" s="49" t="s">
        <v>250</v>
      </c>
      <c r="C123" s="50">
        <v>3</v>
      </c>
      <c r="D123" s="51">
        <v>1328</v>
      </c>
      <c r="E123" s="51">
        <v>3984</v>
      </c>
    </row>
    <row r="124" spans="1:5" x14ac:dyDescent="0.3">
      <c r="A124" s="49" t="s">
        <v>350</v>
      </c>
      <c r="B124" s="49" t="s">
        <v>201</v>
      </c>
      <c r="C124" s="50">
        <v>10</v>
      </c>
      <c r="D124" s="51">
        <v>1368</v>
      </c>
      <c r="E124" s="51">
        <v>13680</v>
      </c>
    </row>
    <row r="125" spans="1:5" x14ac:dyDescent="0.3">
      <c r="A125" s="49" t="s">
        <v>351</v>
      </c>
      <c r="B125" s="49" t="s">
        <v>250</v>
      </c>
      <c r="C125" s="50">
        <v>9</v>
      </c>
      <c r="D125" s="51">
        <v>996</v>
      </c>
      <c r="E125" s="51">
        <v>8964</v>
      </c>
    </row>
    <row r="126" spans="1:5" x14ac:dyDescent="0.3">
      <c r="A126" s="49" t="s">
        <v>352</v>
      </c>
      <c r="B126" s="49" t="s">
        <v>219</v>
      </c>
      <c r="C126" s="50">
        <v>3</v>
      </c>
      <c r="D126" s="51">
        <v>73</v>
      </c>
      <c r="E126" s="51">
        <v>219</v>
      </c>
    </row>
    <row r="127" spans="1:5" x14ac:dyDescent="0.3">
      <c r="A127" s="49" t="s">
        <v>353</v>
      </c>
      <c r="B127" s="49" t="s">
        <v>219</v>
      </c>
      <c r="C127" s="50">
        <v>9</v>
      </c>
      <c r="D127" s="51">
        <v>181</v>
      </c>
      <c r="E127" s="51">
        <v>1629</v>
      </c>
    </row>
    <row r="128" spans="1:5" x14ac:dyDescent="0.3">
      <c r="A128" s="49" t="s">
        <v>354</v>
      </c>
      <c r="B128" s="49" t="s">
        <v>169</v>
      </c>
      <c r="C128" s="50">
        <v>4</v>
      </c>
      <c r="D128" s="51">
        <v>478</v>
      </c>
      <c r="E128" s="51">
        <v>1912</v>
      </c>
    </row>
    <row r="129" spans="1:5" x14ac:dyDescent="0.3">
      <c r="A129" s="49" t="s">
        <v>355</v>
      </c>
      <c r="B129" s="49" t="s">
        <v>192</v>
      </c>
      <c r="C129" s="50">
        <v>2</v>
      </c>
      <c r="D129" s="51">
        <v>1258</v>
      </c>
      <c r="E129" s="51">
        <v>2516</v>
      </c>
    </row>
    <row r="130" spans="1:5" x14ac:dyDescent="0.3">
      <c r="A130" s="49" t="s">
        <v>356</v>
      </c>
      <c r="B130" s="49" t="s">
        <v>169</v>
      </c>
      <c r="C130" s="50">
        <v>7</v>
      </c>
      <c r="D130" s="51">
        <v>1865</v>
      </c>
      <c r="E130" s="51">
        <v>13055</v>
      </c>
    </row>
    <row r="131" spans="1:5" x14ac:dyDescent="0.3">
      <c r="A131" s="49" t="s">
        <v>357</v>
      </c>
      <c r="B131" s="49" t="s">
        <v>250</v>
      </c>
      <c r="C131" s="50">
        <v>5</v>
      </c>
      <c r="D131" s="51">
        <v>1120</v>
      </c>
      <c r="E131" s="51">
        <v>5600</v>
      </c>
    </row>
    <row r="132" spans="1:5" x14ac:dyDescent="0.3">
      <c r="A132" s="49" t="s">
        <v>358</v>
      </c>
      <c r="B132" s="49" t="s">
        <v>250</v>
      </c>
      <c r="C132" s="50">
        <v>9</v>
      </c>
      <c r="D132" s="51">
        <v>1909</v>
      </c>
      <c r="E132" s="51">
        <v>17181</v>
      </c>
    </row>
    <row r="133" spans="1:5" x14ac:dyDescent="0.3">
      <c r="A133" s="49" t="s">
        <v>359</v>
      </c>
      <c r="B133" s="49" t="s">
        <v>237</v>
      </c>
      <c r="C133" s="50">
        <v>9</v>
      </c>
      <c r="D133" s="51">
        <v>1238</v>
      </c>
      <c r="E133" s="51">
        <v>11142</v>
      </c>
    </row>
    <row r="134" spans="1:5" x14ac:dyDescent="0.3">
      <c r="A134" s="49" t="s">
        <v>360</v>
      </c>
      <c r="B134" s="49" t="s">
        <v>222</v>
      </c>
      <c r="C134" s="50">
        <v>5</v>
      </c>
      <c r="D134" s="51">
        <v>1650</v>
      </c>
      <c r="E134" s="51">
        <v>8250</v>
      </c>
    </row>
    <row r="135" spans="1:5" x14ac:dyDescent="0.3">
      <c r="A135" s="49" t="s">
        <v>361</v>
      </c>
      <c r="B135" s="49" t="s">
        <v>169</v>
      </c>
      <c r="C135" s="50">
        <v>4</v>
      </c>
      <c r="D135" s="51">
        <v>1448</v>
      </c>
      <c r="E135" s="51">
        <v>5792</v>
      </c>
    </row>
    <row r="136" spans="1:5" x14ac:dyDescent="0.3">
      <c r="A136" s="49" t="s">
        <v>362</v>
      </c>
      <c r="B136" s="49" t="s">
        <v>237</v>
      </c>
      <c r="C136" s="50">
        <v>10</v>
      </c>
      <c r="D136" s="51">
        <v>981</v>
      </c>
      <c r="E136" s="51">
        <v>9810</v>
      </c>
    </row>
    <row r="137" spans="1:5" x14ac:dyDescent="0.3">
      <c r="A137" s="49" t="s">
        <v>363</v>
      </c>
      <c r="B137" s="49" t="s">
        <v>225</v>
      </c>
      <c r="C137" s="50">
        <v>5</v>
      </c>
      <c r="D137" s="51">
        <v>567</v>
      </c>
      <c r="E137" s="51">
        <v>2835</v>
      </c>
    </row>
    <row r="138" spans="1:5" x14ac:dyDescent="0.3">
      <c r="A138" s="49" t="s">
        <v>364</v>
      </c>
      <c r="B138" s="49" t="s">
        <v>169</v>
      </c>
      <c r="C138" s="50">
        <v>8</v>
      </c>
      <c r="D138" s="51">
        <v>525</v>
      </c>
      <c r="E138" s="51">
        <v>4200</v>
      </c>
    </row>
    <row r="139" spans="1:5" x14ac:dyDescent="0.3">
      <c r="A139" s="49" t="s">
        <v>365</v>
      </c>
      <c r="B139" s="49" t="s">
        <v>237</v>
      </c>
      <c r="C139" s="50">
        <v>4</v>
      </c>
      <c r="D139" s="51">
        <v>756</v>
      </c>
      <c r="E139" s="51">
        <v>3024</v>
      </c>
    </row>
    <row r="140" spans="1:5" x14ac:dyDescent="0.3">
      <c r="A140" s="49" t="s">
        <v>366</v>
      </c>
      <c r="B140" s="49" t="s">
        <v>211</v>
      </c>
      <c r="C140" s="50">
        <v>6</v>
      </c>
      <c r="D140" s="51">
        <v>614</v>
      </c>
      <c r="E140" s="51">
        <v>3684</v>
      </c>
    </row>
    <row r="141" spans="1:5" x14ac:dyDescent="0.3">
      <c r="A141" s="49" t="s">
        <v>367</v>
      </c>
      <c r="B141" s="49" t="s">
        <v>253</v>
      </c>
      <c r="C141" s="50">
        <v>9</v>
      </c>
      <c r="D141" s="51">
        <v>1032</v>
      </c>
      <c r="E141" s="51">
        <v>9288</v>
      </c>
    </row>
    <row r="142" spans="1:5" x14ac:dyDescent="0.3">
      <c r="A142" s="49" t="s">
        <v>368</v>
      </c>
      <c r="B142" s="49" t="s">
        <v>237</v>
      </c>
      <c r="C142" s="50">
        <v>8</v>
      </c>
      <c r="D142" s="51">
        <v>176</v>
      </c>
      <c r="E142" s="51">
        <v>1408</v>
      </c>
    </row>
    <row r="143" spans="1:5" x14ac:dyDescent="0.3">
      <c r="A143" s="49" t="s">
        <v>369</v>
      </c>
      <c r="B143" s="49" t="s">
        <v>219</v>
      </c>
      <c r="C143" s="50">
        <v>4</v>
      </c>
      <c r="D143" s="51">
        <v>1483</v>
      </c>
      <c r="E143" s="51">
        <v>5932</v>
      </c>
    </row>
    <row r="144" spans="1:5" x14ac:dyDescent="0.3">
      <c r="A144" s="49" t="s">
        <v>370</v>
      </c>
      <c r="B144" s="49" t="s">
        <v>250</v>
      </c>
      <c r="C144" s="50">
        <v>1</v>
      </c>
      <c r="D144" s="51">
        <v>1317</v>
      </c>
      <c r="E144" s="51">
        <v>1317</v>
      </c>
    </row>
    <row r="145" spans="1:5" x14ac:dyDescent="0.3">
      <c r="A145" s="49" t="s">
        <v>371</v>
      </c>
      <c r="B145" s="49" t="s">
        <v>219</v>
      </c>
      <c r="C145" s="50">
        <v>2</v>
      </c>
      <c r="D145" s="51">
        <v>573</v>
      </c>
      <c r="E145" s="51">
        <v>1146</v>
      </c>
    </row>
    <row r="146" spans="1:5" x14ac:dyDescent="0.3">
      <c r="A146" s="49" t="s">
        <v>372</v>
      </c>
      <c r="B146" s="49" t="s">
        <v>253</v>
      </c>
      <c r="C146" s="50">
        <v>4</v>
      </c>
      <c r="D146" s="51">
        <v>1208</v>
      </c>
      <c r="E146" s="51">
        <v>4832</v>
      </c>
    </row>
    <row r="147" spans="1:5" x14ac:dyDescent="0.3">
      <c r="A147" s="49" t="s">
        <v>373</v>
      </c>
      <c r="B147" s="49" t="s">
        <v>222</v>
      </c>
      <c r="C147" s="50">
        <v>7</v>
      </c>
      <c r="D147" s="51">
        <v>654</v>
      </c>
      <c r="E147" s="51">
        <v>4578</v>
      </c>
    </row>
    <row r="148" spans="1:5" x14ac:dyDescent="0.3">
      <c r="A148" s="49" t="s">
        <v>374</v>
      </c>
      <c r="B148" s="49" t="s">
        <v>192</v>
      </c>
      <c r="C148" s="50">
        <v>2</v>
      </c>
      <c r="D148" s="51">
        <v>208</v>
      </c>
      <c r="E148" s="51">
        <v>416</v>
      </c>
    </row>
    <row r="149" spans="1:5" x14ac:dyDescent="0.3">
      <c r="A149" s="49" t="s">
        <v>375</v>
      </c>
      <c r="B149" s="49" t="s">
        <v>211</v>
      </c>
      <c r="C149" s="50">
        <v>1</v>
      </c>
      <c r="D149" s="51">
        <v>1481</v>
      </c>
      <c r="E149" s="51">
        <v>1481</v>
      </c>
    </row>
    <row r="150" spans="1:5" x14ac:dyDescent="0.3">
      <c r="A150" s="49" t="s">
        <v>376</v>
      </c>
      <c r="B150" s="49" t="s">
        <v>225</v>
      </c>
      <c r="C150" s="50">
        <v>3</v>
      </c>
      <c r="D150" s="51">
        <v>1221</v>
      </c>
      <c r="E150" s="51">
        <v>3663</v>
      </c>
    </row>
    <row r="151" spans="1:5" x14ac:dyDescent="0.3">
      <c r="A151" s="49" t="s">
        <v>377</v>
      </c>
      <c r="B151" s="49" t="s">
        <v>222</v>
      </c>
      <c r="C151" s="50">
        <v>6</v>
      </c>
      <c r="D151" s="51">
        <v>784</v>
      </c>
      <c r="E151" s="51">
        <v>4704</v>
      </c>
    </row>
    <row r="152" spans="1:5" x14ac:dyDescent="0.3">
      <c r="A152" s="49" t="s">
        <v>378</v>
      </c>
      <c r="B152" s="49" t="s">
        <v>222</v>
      </c>
      <c r="C152" s="50">
        <v>10</v>
      </c>
      <c r="D152" s="51">
        <v>447</v>
      </c>
      <c r="E152" s="51">
        <v>4470</v>
      </c>
    </row>
    <row r="153" spans="1:5" x14ac:dyDescent="0.3">
      <c r="A153" s="49" t="s">
        <v>379</v>
      </c>
      <c r="B153" s="49" t="s">
        <v>201</v>
      </c>
      <c r="C153" s="50">
        <v>2</v>
      </c>
      <c r="D153" s="51">
        <v>315</v>
      </c>
      <c r="E153" s="51">
        <v>630</v>
      </c>
    </row>
    <row r="154" spans="1:5" x14ac:dyDescent="0.3">
      <c r="A154" s="49" t="s">
        <v>380</v>
      </c>
      <c r="B154" s="49" t="s">
        <v>253</v>
      </c>
      <c r="C154" s="50">
        <v>10</v>
      </c>
      <c r="D154" s="51">
        <v>964</v>
      </c>
      <c r="E154" s="51">
        <v>9640</v>
      </c>
    </row>
    <row r="155" spans="1:5" x14ac:dyDescent="0.3">
      <c r="A155" s="49" t="s">
        <v>381</v>
      </c>
      <c r="B155" s="49" t="s">
        <v>211</v>
      </c>
      <c r="C155" s="50">
        <v>3</v>
      </c>
      <c r="D155" s="51">
        <v>1636</v>
      </c>
      <c r="E155" s="51">
        <v>4908</v>
      </c>
    </row>
    <row r="156" spans="1:5" x14ac:dyDescent="0.3">
      <c r="A156" s="49" t="s">
        <v>382</v>
      </c>
      <c r="B156" s="49" t="s">
        <v>225</v>
      </c>
      <c r="C156" s="50">
        <v>1</v>
      </c>
      <c r="D156" s="51">
        <v>309</v>
      </c>
      <c r="E156" s="51">
        <v>309</v>
      </c>
    </row>
    <row r="157" spans="1:5" x14ac:dyDescent="0.3">
      <c r="A157" s="49" t="s">
        <v>383</v>
      </c>
      <c r="B157" s="49" t="s">
        <v>211</v>
      </c>
      <c r="C157" s="50">
        <v>5</v>
      </c>
      <c r="D157" s="51">
        <v>1835</v>
      </c>
      <c r="E157" s="51">
        <v>9175</v>
      </c>
    </row>
    <row r="158" spans="1:5" x14ac:dyDescent="0.3">
      <c r="A158" s="49" t="s">
        <v>384</v>
      </c>
      <c r="B158" s="49" t="s">
        <v>225</v>
      </c>
      <c r="C158" s="50">
        <v>3</v>
      </c>
      <c r="D158" s="51">
        <v>1722</v>
      </c>
      <c r="E158" s="51">
        <v>5166</v>
      </c>
    </row>
    <row r="159" spans="1:5" x14ac:dyDescent="0.3">
      <c r="A159" s="49" t="s">
        <v>385</v>
      </c>
      <c r="B159" s="49" t="s">
        <v>237</v>
      </c>
      <c r="C159" s="50">
        <v>5</v>
      </c>
      <c r="D159" s="51">
        <v>1660</v>
      </c>
      <c r="E159" s="51">
        <v>8300</v>
      </c>
    </row>
    <row r="160" spans="1:5" x14ac:dyDescent="0.3">
      <c r="A160" s="49" t="s">
        <v>386</v>
      </c>
      <c r="B160" s="49" t="s">
        <v>192</v>
      </c>
      <c r="C160" s="50">
        <v>1</v>
      </c>
      <c r="D160" s="51">
        <v>1963</v>
      </c>
      <c r="E160" s="51">
        <v>1963</v>
      </c>
    </row>
    <row r="161" spans="1:5" x14ac:dyDescent="0.3">
      <c r="A161" s="49" t="s">
        <v>387</v>
      </c>
      <c r="B161" s="49" t="s">
        <v>169</v>
      </c>
      <c r="C161" s="50">
        <v>5</v>
      </c>
      <c r="D161" s="51">
        <v>1515</v>
      </c>
      <c r="E161" s="51">
        <v>7575</v>
      </c>
    </row>
    <row r="162" spans="1:5" x14ac:dyDescent="0.3">
      <c r="A162" s="49" t="s">
        <v>388</v>
      </c>
      <c r="B162" s="49" t="s">
        <v>250</v>
      </c>
      <c r="C162" s="50">
        <v>6</v>
      </c>
      <c r="D162" s="51">
        <v>1604</v>
      </c>
      <c r="E162" s="51">
        <v>9624</v>
      </c>
    </row>
    <row r="163" spans="1:5" x14ac:dyDescent="0.3">
      <c r="A163" s="49" t="s">
        <v>389</v>
      </c>
      <c r="B163" s="49" t="s">
        <v>211</v>
      </c>
      <c r="C163" s="50">
        <v>10</v>
      </c>
      <c r="D163" s="51">
        <v>451</v>
      </c>
      <c r="E163" s="51">
        <v>4510</v>
      </c>
    </row>
    <row r="164" spans="1:5" x14ac:dyDescent="0.3">
      <c r="A164" s="49" t="s">
        <v>390</v>
      </c>
      <c r="B164" s="49" t="s">
        <v>169</v>
      </c>
      <c r="C164" s="50">
        <v>1</v>
      </c>
      <c r="D164" s="51">
        <v>1186</v>
      </c>
      <c r="E164" s="51">
        <v>1186</v>
      </c>
    </row>
    <row r="165" spans="1:5" x14ac:dyDescent="0.3">
      <c r="A165" s="49" t="s">
        <v>391</v>
      </c>
      <c r="B165" s="49" t="s">
        <v>237</v>
      </c>
      <c r="C165" s="50">
        <v>10</v>
      </c>
      <c r="D165" s="51">
        <v>1499</v>
      </c>
      <c r="E165" s="51">
        <v>14990</v>
      </c>
    </row>
    <row r="166" spans="1:5" x14ac:dyDescent="0.3">
      <c r="A166" s="49" t="s">
        <v>392</v>
      </c>
      <c r="B166" s="49" t="s">
        <v>222</v>
      </c>
      <c r="C166" s="50">
        <v>5</v>
      </c>
      <c r="D166" s="51">
        <v>356</v>
      </c>
      <c r="E166" s="51">
        <v>1780</v>
      </c>
    </row>
    <row r="167" spans="1:5" x14ac:dyDescent="0.3">
      <c r="A167" s="49" t="s">
        <v>393</v>
      </c>
      <c r="B167" s="49" t="s">
        <v>237</v>
      </c>
      <c r="C167" s="50">
        <v>9</v>
      </c>
      <c r="D167" s="51">
        <v>1739</v>
      </c>
      <c r="E167" s="51">
        <v>15651</v>
      </c>
    </row>
    <row r="168" spans="1:5" x14ac:dyDescent="0.3">
      <c r="A168" s="49" t="s">
        <v>394</v>
      </c>
      <c r="B168" s="49" t="s">
        <v>237</v>
      </c>
      <c r="C168" s="50">
        <v>9</v>
      </c>
      <c r="D168" s="51">
        <v>1059</v>
      </c>
      <c r="E168" s="51">
        <v>9531</v>
      </c>
    </row>
    <row r="169" spans="1:5" x14ac:dyDescent="0.3">
      <c r="A169" s="49" t="s">
        <v>395</v>
      </c>
      <c r="B169" s="49" t="s">
        <v>219</v>
      </c>
      <c r="C169" s="50">
        <v>5</v>
      </c>
      <c r="D169" s="51">
        <v>505</v>
      </c>
      <c r="E169" s="51">
        <v>2525</v>
      </c>
    </row>
    <row r="170" spans="1:5" x14ac:dyDescent="0.3">
      <c r="A170" s="49" t="s">
        <v>396</v>
      </c>
      <c r="B170" s="49" t="s">
        <v>253</v>
      </c>
      <c r="C170" s="50">
        <v>1</v>
      </c>
      <c r="D170" s="51">
        <v>1187</v>
      </c>
      <c r="E170" s="51">
        <v>1187</v>
      </c>
    </row>
    <row r="171" spans="1:5" x14ac:dyDescent="0.3">
      <c r="A171" s="49" t="s">
        <v>397</v>
      </c>
      <c r="B171" s="49" t="s">
        <v>192</v>
      </c>
      <c r="C171" s="50">
        <v>4</v>
      </c>
      <c r="D171" s="51">
        <v>1529</v>
      </c>
      <c r="E171" s="51">
        <v>6116</v>
      </c>
    </row>
    <row r="172" spans="1:5" x14ac:dyDescent="0.3">
      <c r="A172" s="49" t="s">
        <v>398</v>
      </c>
      <c r="B172" s="49" t="s">
        <v>225</v>
      </c>
      <c r="C172" s="50">
        <v>5</v>
      </c>
      <c r="D172" s="51">
        <v>216</v>
      </c>
      <c r="E172" s="51">
        <v>1080</v>
      </c>
    </row>
    <row r="173" spans="1:5" x14ac:dyDescent="0.3">
      <c r="A173" s="49" t="s">
        <v>399</v>
      </c>
      <c r="B173" s="49" t="s">
        <v>192</v>
      </c>
      <c r="C173" s="50">
        <v>3</v>
      </c>
      <c r="D173" s="51">
        <v>1347</v>
      </c>
      <c r="E173" s="51">
        <v>4041</v>
      </c>
    </row>
    <row r="174" spans="1:5" x14ac:dyDescent="0.3">
      <c r="A174" s="49" t="s">
        <v>400</v>
      </c>
      <c r="B174" s="49" t="s">
        <v>211</v>
      </c>
      <c r="C174" s="50">
        <v>6</v>
      </c>
      <c r="D174" s="51">
        <v>978</v>
      </c>
      <c r="E174" s="51">
        <v>5868</v>
      </c>
    </row>
    <row r="175" spans="1:5" x14ac:dyDescent="0.3">
      <c r="A175" s="49" t="s">
        <v>401</v>
      </c>
      <c r="B175" s="49" t="s">
        <v>237</v>
      </c>
      <c r="C175" s="50">
        <v>1</v>
      </c>
      <c r="D175" s="51">
        <v>1802</v>
      </c>
      <c r="E175" s="51">
        <v>1802</v>
      </c>
    </row>
    <row r="176" spans="1:5" x14ac:dyDescent="0.3">
      <c r="A176" s="49" t="s">
        <v>402</v>
      </c>
      <c r="B176" s="49" t="s">
        <v>250</v>
      </c>
      <c r="C176" s="50">
        <v>2</v>
      </c>
      <c r="D176" s="51">
        <v>1057</v>
      </c>
      <c r="E176" s="51">
        <v>2114</v>
      </c>
    </row>
    <row r="177" spans="1:5" x14ac:dyDescent="0.3">
      <c r="A177" s="49" t="s">
        <v>403</v>
      </c>
      <c r="B177" s="49" t="s">
        <v>222</v>
      </c>
      <c r="C177" s="50">
        <v>10</v>
      </c>
      <c r="D177" s="51">
        <v>918</v>
      </c>
      <c r="E177" s="51">
        <v>9180</v>
      </c>
    </row>
    <row r="178" spans="1:5" x14ac:dyDescent="0.3">
      <c r="A178" s="49" t="s">
        <v>404</v>
      </c>
      <c r="B178" s="49" t="s">
        <v>222</v>
      </c>
      <c r="C178" s="50">
        <v>4</v>
      </c>
      <c r="D178" s="51">
        <v>387</v>
      </c>
      <c r="E178" s="51">
        <v>1548</v>
      </c>
    </row>
    <row r="179" spans="1:5" x14ac:dyDescent="0.3">
      <c r="A179" s="49" t="s">
        <v>405</v>
      </c>
      <c r="B179" s="49" t="s">
        <v>201</v>
      </c>
      <c r="C179" s="50">
        <v>1</v>
      </c>
      <c r="D179" s="51">
        <v>1726</v>
      </c>
      <c r="E179" s="51">
        <v>1726</v>
      </c>
    </row>
    <row r="180" spans="1:5" x14ac:dyDescent="0.3">
      <c r="A180" s="49" t="s">
        <v>406</v>
      </c>
      <c r="B180" s="49" t="s">
        <v>211</v>
      </c>
      <c r="C180" s="50">
        <v>5</v>
      </c>
      <c r="D180" s="51">
        <v>1037</v>
      </c>
      <c r="E180" s="51">
        <v>5185</v>
      </c>
    </row>
    <row r="181" spans="1:5" x14ac:dyDescent="0.3">
      <c r="A181" s="49" t="s">
        <v>407</v>
      </c>
      <c r="B181" s="49" t="s">
        <v>250</v>
      </c>
      <c r="C181" s="50">
        <v>1</v>
      </c>
      <c r="D181" s="51">
        <v>1542</v>
      </c>
      <c r="E181" s="51">
        <v>1542</v>
      </c>
    </row>
    <row r="182" spans="1:5" x14ac:dyDescent="0.3">
      <c r="A182" s="49" t="s">
        <v>408</v>
      </c>
      <c r="B182" s="49" t="s">
        <v>250</v>
      </c>
      <c r="C182" s="50">
        <v>4</v>
      </c>
      <c r="D182" s="51">
        <v>1810</v>
      </c>
      <c r="E182" s="51">
        <v>7240</v>
      </c>
    </row>
    <row r="183" spans="1:5" x14ac:dyDescent="0.3">
      <c r="A183" s="49" t="s">
        <v>409</v>
      </c>
      <c r="B183" s="49" t="s">
        <v>169</v>
      </c>
      <c r="C183" s="50">
        <v>4</v>
      </c>
      <c r="D183" s="51">
        <v>1600</v>
      </c>
      <c r="E183" s="51">
        <v>6400</v>
      </c>
    </row>
    <row r="184" spans="1:5" x14ac:dyDescent="0.3">
      <c r="A184" s="49" t="s">
        <v>410</v>
      </c>
      <c r="B184" s="49" t="s">
        <v>219</v>
      </c>
      <c r="C184" s="50">
        <v>9</v>
      </c>
      <c r="D184" s="51">
        <v>57</v>
      </c>
      <c r="E184" s="51">
        <v>513</v>
      </c>
    </row>
    <row r="185" spans="1:5" x14ac:dyDescent="0.3">
      <c r="A185" s="49" t="s">
        <v>411</v>
      </c>
      <c r="B185" s="49" t="s">
        <v>169</v>
      </c>
      <c r="C185" s="50">
        <v>4</v>
      </c>
      <c r="D185" s="51">
        <v>401</v>
      </c>
      <c r="E185" s="51">
        <v>1604</v>
      </c>
    </row>
    <row r="186" spans="1:5" x14ac:dyDescent="0.3">
      <c r="A186" s="49" t="s">
        <v>412</v>
      </c>
      <c r="B186" s="49" t="s">
        <v>211</v>
      </c>
      <c r="C186" s="50">
        <v>2</v>
      </c>
      <c r="D186" s="51">
        <v>139</v>
      </c>
      <c r="E186" s="51">
        <v>278</v>
      </c>
    </row>
    <row r="187" spans="1:5" x14ac:dyDescent="0.3">
      <c r="A187" s="49" t="s">
        <v>413</v>
      </c>
      <c r="B187" s="49" t="s">
        <v>225</v>
      </c>
      <c r="C187" s="50">
        <v>9</v>
      </c>
      <c r="D187" s="51">
        <v>573</v>
      </c>
      <c r="E187" s="51">
        <v>5157</v>
      </c>
    </row>
    <row r="188" spans="1:5" x14ac:dyDescent="0.3">
      <c r="A188" s="49" t="s">
        <v>414</v>
      </c>
      <c r="B188" s="49" t="s">
        <v>250</v>
      </c>
      <c r="C188" s="50">
        <v>4</v>
      </c>
      <c r="D188" s="51">
        <v>790</v>
      </c>
      <c r="E188" s="51">
        <v>3160</v>
      </c>
    </row>
    <row r="189" spans="1:5" x14ac:dyDescent="0.3">
      <c r="A189" s="49" t="s">
        <v>415</v>
      </c>
      <c r="B189" s="49" t="s">
        <v>219</v>
      </c>
      <c r="C189" s="50">
        <v>2</v>
      </c>
      <c r="D189" s="51">
        <v>770</v>
      </c>
      <c r="E189" s="51">
        <v>1540</v>
      </c>
    </row>
    <row r="190" spans="1:5" x14ac:dyDescent="0.3">
      <c r="A190" s="49" t="s">
        <v>416</v>
      </c>
      <c r="B190" s="49" t="s">
        <v>219</v>
      </c>
      <c r="C190" s="50">
        <v>3</v>
      </c>
      <c r="D190" s="51">
        <v>284</v>
      </c>
      <c r="E190" s="51">
        <v>852</v>
      </c>
    </row>
    <row r="191" spans="1:5" x14ac:dyDescent="0.3">
      <c r="A191" s="49" t="s">
        <v>417</v>
      </c>
      <c r="B191" s="49" t="s">
        <v>219</v>
      </c>
      <c r="C191" s="50">
        <v>3</v>
      </c>
      <c r="D191" s="51">
        <v>1537</v>
      </c>
      <c r="E191" s="51">
        <v>4611</v>
      </c>
    </row>
    <row r="192" spans="1:5" x14ac:dyDescent="0.3">
      <c r="A192" s="49" t="s">
        <v>418</v>
      </c>
      <c r="B192" s="49" t="s">
        <v>250</v>
      </c>
      <c r="C192" s="50">
        <v>10</v>
      </c>
      <c r="D192" s="51">
        <v>680</v>
      </c>
      <c r="E192" s="51">
        <v>6800</v>
      </c>
    </row>
    <row r="193" spans="1:5" x14ac:dyDescent="0.3">
      <c r="A193" s="49" t="s">
        <v>419</v>
      </c>
      <c r="B193" s="49" t="s">
        <v>250</v>
      </c>
      <c r="C193" s="50">
        <v>3</v>
      </c>
      <c r="D193" s="51">
        <v>1190</v>
      </c>
      <c r="E193" s="51">
        <v>3570</v>
      </c>
    </row>
    <row r="194" spans="1:5" x14ac:dyDescent="0.3">
      <c r="A194" s="49" t="s">
        <v>420</v>
      </c>
      <c r="B194" s="49" t="s">
        <v>225</v>
      </c>
      <c r="C194" s="50">
        <v>10</v>
      </c>
      <c r="D194" s="51">
        <v>1774</v>
      </c>
      <c r="E194" s="51">
        <v>17740</v>
      </c>
    </row>
    <row r="195" spans="1:5" x14ac:dyDescent="0.3">
      <c r="A195" s="49" t="s">
        <v>421</v>
      </c>
      <c r="B195" s="49" t="s">
        <v>192</v>
      </c>
      <c r="C195" s="50">
        <v>1</v>
      </c>
      <c r="D195" s="51">
        <v>723</v>
      </c>
      <c r="E195" s="51">
        <v>723</v>
      </c>
    </row>
    <row r="196" spans="1:5" x14ac:dyDescent="0.3">
      <c r="A196" s="49" t="s">
        <v>422</v>
      </c>
      <c r="B196" s="49" t="s">
        <v>222</v>
      </c>
      <c r="C196" s="50">
        <v>4</v>
      </c>
      <c r="D196" s="51">
        <v>1994</v>
      </c>
      <c r="E196" s="51">
        <v>7976</v>
      </c>
    </row>
    <row r="197" spans="1:5" x14ac:dyDescent="0.3">
      <c r="A197" s="49" t="s">
        <v>423</v>
      </c>
      <c r="B197" s="49" t="s">
        <v>250</v>
      </c>
      <c r="C197" s="50">
        <v>1</v>
      </c>
      <c r="D197" s="51">
        <v>1794</v>
      </c>
      <c r="E197" s="51">
        <v>1794</v>
      </c>
    </row>
    <row r="198" spans="1:5" x14ac:dyDescent="0.3">
      <c r="A198" s="49" t="s">
        <v>424</v>
      </c>
      <c r="B198" s="49" t="s">
        <v>222</v>
      </c>
      <c r="C198" s="50">
        <v>2</v>
      </c>
      <c r="D198" s="51">
        <v>1081</v>
      </c>
      <c r="E198" s="51">
        <v>2162</v>
      </c>
    </row>
    <row r="199" spans="1:5" x14ac:dyDescent="0.3">
      <c r="A199" s="49" t="s">
        <v>425</v>
      </c>
      <c r="B199" s="49" t="s">
        <v>219</v>
      </c>
      <c r="C199" s="50">
        <v>10</v>
      </c>
      <c r="D199" s="51">
        <v>52</v>
      </c>
      <c r="E199" s="51">
        <v>520</v>
      </c>
    </row>
    <row r="200" spans="1:5" x14ac:dyDescent="0.3">
      <c r="A200" s="49" t="s">
        <v>426</v>
      </c>
      <c r="B200" s="49" t="s">
        <v>237</v>
      </c>
      <c r="C200" s="50">
        <v>6</v>
      </c>
      <c r="D200" s="51">
        <v>1275</v>
      </c>
      <c r="E200" s="51">
        <v>7650</v>
      </c>
    </row>
    <row r="201" spans="1:5" x14ac:dyDescent="0.3">
      <c r="A201" s="49" t="s">
        <v>427</v>
      </c>
      <c r="B201" s="49" t="s">
        <v>225</v>
      </c>
      <c r="C201" s="50">
        <v>5</v>
      </c>
      <c r="D201" s="51">
        <v>467</v>
      </c>
      <c r="E201" s="51">
        <v>2335</v>
      </c>
    </row>
  </sheetData>
  <mergeCells count="1">
    <mergeCell ref="G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711F-1679-42CA-9B36-C55E002ACB63}">
  <sheetPr>
    <tabColor theme="8"/>
  </sheetPr>
  <dimension ref="A1:K43"/>
  <sheetViews>
    <sheetView workbookViewId="0">
      <selection activeCell="K4" sqref="K4"/>
    </sheetView>
  </sheetViews>
  <sheetFormatPr defaultColWidth="9.109375" defaultRowHeight="14.4" x14ac:dyDescent="0.3"/>
  <cols>
    <col min="1" max="1" width="16.5546875" style="94" customWidth="1"/>
    <col min="2" max="2" width="13.6640625" style="86" customWidth="1"/>
    <col min="3" max="3" width="11.44140625" style="86" customWidth="1"/>
    <col min="4" max="4" width="9.88671875" style="86" customWidth="1"/>
    <col min="5" max="5" width="11.109375" style="86" bestFit="1" customWidth="1"/>
    <col min="6" max="6" width="11" style="86" bestFit="1" customWidth="1"/>
    <col min="7" max="7" width="10.6640625" style="86" bestFit="1" customWidth="1"/>
    <col min="8" max="8" width="9.109375" style="86"/>
    <col min="9" max="9" width="8.6640625" style="86" customWidth="1"/>
    <col min="10" max="10" width="32.5546875" style="86" customWidth="1"/>
    <col min="11" max="11" width="23.44140625" style="86" customWidth="1"/>
    <col min="12" max="16384" width="9.109375" style="86"/>
  </cols>
  <sheetData>
    <row r="1" spans="1:11" ht="16.2" thickBot="1" x14ac:dyDescent="0.35">
      <c r="A1" s="84" t="s">
        <v>167</v>
      </c>
      <c r="B1" s="85" t="s">
        <v>490</v>
      </c>
      <c r="C1" s="85" t="s">
        <v>491</v>
      </c>
      <c r="D1" s="85" t="s">
        <v>492</v>
      </c>
      <c r="E1" s="85" t="s">
        <v>493</v>
      </c>
      <c r="F1" s="85" t="s">
        <v>164</v>
      </c>
      <c r="G1" s="85" t="s">
        <v>494</v>
      </c>
      <c r="J1" s="142" t="s">
        <v>495</v>
      </c>
      <c r="K1" s="142" t="s">
        <v>496</v>
      </c>
    </row>
    <row r="2" spans="1:11" ht="20.25" customHeight="1" thickTop="1" x14ac:dyDescent="0.3">
      <c r="A2" s="87">
        <v>43728</v>
      </c>
      <c r="B2" s="88" t="s">
        <v>497</v>
      </c>
      <c r="C2" s="88" t="s">
        <v>498</v>
      </c>
      <c r="D2" s="88" t="s">
        <v>499</v>
      </c>
      <c r="E2" s="88">
        <v>40</v>
      </c>
      <c r="F2" s="88">
        <v>15.95</v>
      </c>
      <c r="G2" s="88">
        <f t="shared" ref="G2:G43" si="0">F2*E2</f>
        <v>638</v>
      </c>
      <c r="J2" s="142"/>
      <c r="K2" s="142"/>
    </row>
    <row r="3" spans="1:11" ht="20.25" customHeight="1" x14ac:dyDescent="0.3">
      <c r="A3" s="89">
        <v>43663</v>
      </c>
      <c r="B3" s="90" t="s">
        <v>497</v>
      </c>
      <c r="C3" s="90" t="s">
        <v>498</v>
      </c>
      <c r="D3" s="90" t="s">
        <v>499</v>
      </c>
      <c r="E3" s="90">
        <v>35</v>
      </c>
      <c r="F3" s="90">
        <v>19.989999999999998</v>
      </c>
      <c r="G3" s="90">
        <f t="shared" si="0"/>
        <v>699.65</v>
      </c>
      <c r="J3" s="142"/>
      <c r="K3" s="142"/>
    </row>
    <row r="4" spans="1:11" ht="17.399999999999999" x14ac:dyDescent="0.3">
      <c r="A4" s="91">
        <v>43496</v>
      </c>
      <c r="B4" s="92" t="s">
        <v>500</v>
      </c>
      <c r="C4" s="92" t="s">
        <v>498</v>
      </c>
      <c r="D4" s="92" t="s">
        <v>501</v>
      </c>
      <c r="E4" s="92">
        <v>50</v>
      </c>
      <c r="F4" s="92">
        <v>15.99</v>
      </c>
      <c r="G4" s="92">
        <f t="shared" si="0"/>
        <v>799.5</v>
      </c>
      <c r="J4" s="93">
        <f>SUMIFS(E2:E43,D2:D43,"qara",B2:B43,"*p*")</f>
        <v>342</v>
      </c>
      <c r="K4" s="93" cm="1">
        <f t="array" ref="K4">SUM(SUMIFS(E2:E43,D2:D43,{"sarı";"qara"}))</f>
        <v>912</v>
      </c>
    </row>
    <row r="5" spans="1:11" x14ac:dyDescent="0.3">
      <c r="A5" s="89">
        <v>43556</v>
      </c>
      <c r="B5" s="90" t="s">
        <v>497</v>
      </c>
      <c r="C5" s="90" t="s">
        <v>502</v>
      </c>
      <c r="D5" s="90" t="s">
        <v>503</v>
      </c>
      <c r="E5" s="90">
        <v>50</v>
      </c>
      <c r="F5" s="90">
        <v>59.99</v>
      </c>
      <c r="G5" s="90">
        <f t="shared" si="0"/>
        <v>2999.5</v>
      </c>
    </row>
    <row r="6" spans="1:11" x14ac:dyDescent="0.3">
      <c r="A6" s="91">
        <v>43680</v>
      </c>
      <c r="B6" s="92" t="s">
        <v>500</v>
      </c>
      <c r="C6" s="92" t="s">
        <v>502</v>
      </c>
      <c r="D6" s="92" t="s">
        <v>501</v>
      </c>
      <c r="E6" s="92">
        <v>32</v>
      </c>
      <c r="F6" s="92">
        <v>19.989999999999998</v>
      </c>
      <c r="G6" s="92">
        <f t="shared" si="0"/>
        <v>639.67999999999995</v>
      </c>
    </row>
    <row r="7" spans="1:11" x14ac:dyDescent="0.3">
      <c r="A7" s="89">
        <v>43722</v>
      </c>
      <c r="B7" s="90" t="s">
        <v>497</v>
      </c>
      <c r="C7" s="90" t="s">
        <v>498</v>
      </c>
      <c r="D7" s="90" t="s">
        <v>503</v>
      </c>
      <c r="E7" s="90">
        <v>45</v>
      </c>
      <c r="F7" s="90">
        <v>15.99</v>
      </c>
      <c r="G7" s="90">
        <f t="shared" si="0"/>
        <v>719.55</v>
      </c>
    </row>
    <row r="8" spans="1:11" ht="14.7" customHeight="1" x14ac:dyDescent="0.3">
      <c r="A8" s="91">
        <v>43670</v>
      </c>
      <c r="B8" s="92" t="s">
        <v>497</v>
      </c>
      <c r="C8" s="92" t="s">
        <v>498</v>
      </c>
      <c r="D8" s="92" t="s">
        <v>503</v>
      </c>
      <c r="E8" s="92">
        <v>25</v>
      </c>
      <c r="F8" s="92">
        <v>35.99</v>
      </c>
      <c r="G8" s="92">
        <f t="shared" si="0"/>
        <v>899.75</v>
      </c>
    </row>
    <row r="9" spans="1:11" ht="14.7" customHeight="1" x14ac:dyDescent="0.3">
      <c r="A9" s="89">
        <v>43495</v>
      </c>
      <c r="B9" s="90" t="s">
        <v>497</v>
      </c>
      <c r="C9" s="90" t="s">
        <v>498</v>
      </c>
      <c r="D9" s="90" t="s">
        <v>503</v>
      </c>
      <c r="E9" s="90">
        <v>80</v>
      </c>
      <c r="F9" s="90">
        <v>15.99</v>
      </c>
      <c r="G9" s="90">
        <f t="shared" si="0"/>
        <v>1279.2</v>
      </c>
    </row>
    <row r="10" spans="1:11" ht="14.7" customHeight="1" x14ac:dyDescent="0.3">
      <c r="A10" s="91">
        <v>43701</v>
      </c>
      <c r="B10" s="92" t="s">
        <v>497</v>
      </c>
      <c r="C10" s="92" t="s">
        <v>498</v>
      </c>
      <c r="D10" s="92" t="s">
        <v>501</v>
      </c>
      <c r="E10" s="92">
        <v>40</v>
      </c>
      <c r="F10" s="92">
        <v>35.99</v>
      </c>
      <c r="G10" s="92">
        <f t="shared" si="0"/>
        <v>1439.6000000000001</v>
      </c>
    </row>
    <row r="11" spans="1:11" x14ac:dyDescent="0.3">
      <c r="A11" s="89">
        <v>43784</v>
      </c>
      <c r="B11" s="90" t="s">
        <v>497</v>
      </c>
      <c r="C11" s="90" t="s">
        <v>498</v>
      </c>
      <c r="D11" s="90" t="s">
        <v>503</v>
      </c>
      <c r="E11" s="90">
        <v>40</v>
      </c>
      <c r="F11" s="90">
        <v>45.5</v>
      </c>
      <c r="G11" s="90">
        <f t="shared" si="0"/>
        <v>1820</v>
      </c>
    </row>
    <row r="12" spans="1:11" x14ac:dyDescent="0.3">
      <c r="A12" s="91">
        <v>43619</v>
      </c>
      <c r="B12" s="92" t="s">
        <v>497</v>
      </c>
      <c r="C12" s="92" t="s">
        <v>498</v>
      </c>
      <c r="D12" s="92" t="s">
        <v>504</v>
      </c>
      <c r="E12" s="92">
        <v>15</v>
      </c>
      <c r="F12" s="92">
        <v>15.99</v>
      </c>
      <c r="G12" s="92">
        <f t="shared" si="0"/>
        <v>239.85</v>
      </c>
    </row>
    <row r="13" spans="1:11" x14ac:dyDescent="0.3">
      <c r="A13" s="89">
        <v>43748</v>
      </c>
      <c r="B13" s="90" t="s">
        <v>497</v>
      </c>
      <c r="C13" s="90" t="s">
        <v>498</v>
      </c>
      <c r="D13" s="90" t="s">
        <v>499</v>
      </c>
      <c r="E13" s="90">
        <v>40</v>
      </c>
      <c r="F13" s="90">
        <v>15.99</v>
      </c>
      <c r="G13" s="90">
        <f t="shared" si="0"/>
        <v>639.6</v>
      </c>
    </row>
    <row r="14" spans="1:11" x14ac:dyDescent="0.3">
      <c r="A14" s="91">
        <v>43605</v>
      </c>
      <c r="B14" s="92" t="s">
        <v>497</v>
      </c>
      <c r="C14" s="92" t="s">
        <v>502</v>
      </c>
      <c r="D14" s="92" t="s">
        <v>499</v>
      </c>
      <c r="E14" s="92">
        <v>25</v>
      </c>
      <c r="F14" s="92">
        <v>55.5</v>
      </c>
      <c r="G14" s="92">
        <f t="shared" si="0"/>
        <v>1387.5</v>
      </c>
    </row>
    <row r="15" spans="1:11" x14ac:dyDescent="0.3">
      <c r="A15" s="89">
        <v>43537</v>
      </c>
      <c r="B15" s="90" t="s">
        <v>497</v>
      </c>
      <c r="C15" s="90" t="s">
        <v>498</v>
      </c>
      <c r="D15" s="90" t="s">
        <v>499</v>
      </c>
      <c r="E15" s="90">
        <v>50</v>
      </c>
      <c r="F15" s="90">
        <v>55.99</v>
      </c>
      <c r="G15" s="90">
        <f t="shared" si="0"/>
        <v>2799.5</v>
      </c>
    </row>
    <row r="16" spans="1:11" x14ac:dyDescent="0.3">
      <c r="A16" s="91">
        <v>43543</v>
      </c>
      <c r="B16" s="92" t="s">
        <v>497</v>
      </c>
      <c r="C16" s="92" t="s">
        <v>498</v>
      </c>
      <c r="D16" s="92" t="s">
        <v>501</v>
      </c>
      <c r="E16" s="92">
        <v>50</v>
      </c>
      <c r="F16" s="92">
        <v>8.99</v>
      </c>
      <c r="G16" s="92">
        <f t="shared" si="0"/>
        <v>449.5</v>
      </c>
    </row>
    <row r="17" spans="1:7" x14ac:dyDescent="0.3">
      <c r="A17" s="89">
        <v>43523</v>
      </c>
      <c r="B17" s="90" t="s">
        <v>497</v>
      </c>
      <c r="C17" s="90" t="s">
        <v>498</v>
      </c>
      <c r="D17" s="90" t="s">
        <v>501</v>
      </c>
      <c r="E17" s="90">
        <v>50</v>
      </c>
      <c r="F17" s="90">
        <v>15.5</v>
      </c>
      <c r="G17" s="90">
        <f t="shared" si="0"/>
        <v>775</v>
      </c>
    </row>
    <row r="18" spans="1:7" x14ac:dyDescent="0.3">
      <c r="A18" s="91">
        <v>43600</v>
      </c>
      <c r="B18" s="92" t="s">
        <v>500</v>
      </c>
      <c r="C18" s="92" t="s">
        <v>498</v>
      </c>
      <c r="D18" s="92" t="s">
        <v>504</v>
      </c>
      <c r="E18" s="92">
        <v>75</v>
      </c>
      <c r="F18" s="92">
        <v>19.5</v>
      </c>
      <c r="G18" s="92">
        <f t="shared" si="0"/>
        <v>1462.5</v>
      </c>
    </row>
    <row r="19" spans="1:7" x14ac:dyDescent="0.3">
      <c r="A19" s="89">
        <v>43630</v>
      </c>
      <c r="B19" s="90" t="s">
        <v>497</v>
      </c>
      <c r="C19" s="90" t="s">
        <v>498</v>
      </c>
      <c r="D19" s="92" t="s">
        <v>504</v>
      </c>
      <c r="E19" s="90">
        <v>50</v>
      </c>
      <c r="F19" s="90">
        <v>29.95</v>
      </c>
      <c r="G19" s="90">
        <f t="shared" si="0"/>
        <v>1497.5</v>
      </c>
    </row>
    <row r="20" spans="1:7" x14ac:dyDescent="0.3">
      <c r="A20" s="91">
        <v>43693</v>
      </c>
      <c r="B20" s="92" t="s">
        <v>497</v>
      </c>
      <c r="C20" s="92" t="s">
        <v>502</v>
      </c>
      <c r="D20" s="92" t="s">
        <v>504</v>
      </c>
      <c r="E20" s="92">
        <v>50</v>
      </c>
      <c r="F20" s="92">
        <v>39.950000000000003</v>
      </c>
      <c r="G20" s="92">
        <f t="shared" si="0"/>
        <v>1997.5000000000002</v>
      </c>
    </row>
    <row r="21" spans="1:7" x14ac:dyDescent="0.3">
      <c r="A21" s="89">
        <v>43555</v>
      </c>
      <c r="B21" s="90" t="s">
        <v>500</v>
      </c>
      <c r="C21" s="90" t="s">
        <v>498</v>
      </c>
      <c r="D21" s="90" t="s">
        <v>499</v>
      </c>
      <c r="E21" s="90">
        <v>75</v>
      </c>
      <c r="F21" s="90">
        <v>75</v>
      </c>
      <c r="G21" s="90">
        <f t="shared" si="0"/>
        <v>5625</v>
      </c>
    </row>
    <row r="22" spans="1:7" x14ac:dyDescent="0.3">
      <c r="A22" s="91">
        <v>43709</v>
      </c>
      <c r="B22" s="92" t="s">
        <v>500</v>
      </c>
      <c r="C22" s="92" t="s">
        <v>498</v>
      </c>
      <c r="D22" s="92" t="s">
        <v>501</v>
      </c>
      <c r="E22" s="92">
        <v>60</v>
      </c>
      <c r="F22" s="92">
        <v>15.99</v>
      </c>
      <c r="G22" s="92">
        <f t="shared" si="0"/>
        <v>959.4</v>
      </c>
    </row>
    <row r="23" spans="1:7" x14ac:dyDescent="0.3">
      <c r="A23" s="89">
        <v>43675</v>
      </c>
      <c r="B23" s="90" t="s">
        <v>497</v>
      </c>
      <c r="C23" s="90" t="s">
        <v>498</v>
      </c>
      <c r="D23" s="90" t="s">
        <v>503</v>
      </c>
      <c r="E23" s="90">
        <v>45</v>
      </c>
      <c r="F23" s="90">
        <v>59.99</v>
      </c>
      <c r="G23" s="90">
        <f t="shared" si="0"/>
        <v>2699.55</v>
      </c>
    </row>
    <row r="24" spans="1:7" x14ac:dyDescent="0.3">
      <c r="A24" s="91">
        <v>43510</v>
      </c>
      <c r="B24" s="92" t="s">
        <v>500</v>
      </c>
      <c r="C24" s="92" t="s">
        <v>498</v>
      </c>
      <c r="D24" s="92" t="s">
        <v>499</v>
      </c>
      <c r="E24" s="92">
        <v>50</v>
      </c>
      <c r="F24" s="92">
        <v>75</v>
      </c>
      <c r="G24" s="92">
        <f t="shared" si="0"/>
        <v>3750</v>
      </c>
    </row>
    <row r="25" spans="1:7" x14ac:dyDescent="0.3">
      <c r="A25" s="89">
        <v>43563</v>
      </c>
      <c r="B25" s="90" t="s">
        <v>505</v>
      </c>
      <c r="C25" s="90" t="s">
        <v>502</v>
      </c>
      <c r="D25" s="90" t="s">
        <v>503</v>
      </c>
      <c r="E25" s="90">
        <v>28</v>
      </c>
      <c r="F25" s="90">
        <v>14.074</v>
      </c>
      <c r="G25" s="90">
        <f t="shared" si="0"/>
        <v>394.072</v>
      </c>
    </row>
    <row r="26" spans="1:7" x14ac:dyDescent="0.3">
      <c r="A26" s="91">
        <v>43638</v>
      </c>
      <c r="B26" s="92" t="s">
        <v>500</v>
      </c>
      <c r="C26" s="92" t="s">
        <v>498</v>
      </c>
      <c r="D26" s="92" t="s">
        <v>503</v>
      </c>
      <c r="E26" s="92">
        <v>500</v>
      </c>
      <c r="F26" s="92">
        <v>1.99</v>
      </c>
      <c r="G26" s="92">
        <f t="shared" si="0"/>
        <v>995</v>
      </c>
    </row>
    <row r="27" spans="1:7" x14ac:dyDescent="0.3">
      <c r="A27" s="89">
        <v>43818</v>
      </c>
      <c r="B27" s="90" t="s">
        <v>505</v>
      </c>
      <c r="C27" s="90" t="s">
        <v>498</v>
      </c>
      <c r="D27" s="90" t="s">
        <v>503</v>
      </c>
      <c r="E27" s="90">
        <v>33</v>
      </c>
      <c r="F27" s="90">
        <v>34.99</v>
      </c>
      <c r="G27" s="90">
        <f t="shared" si="0"/>
        <v>1154.67</v>
      </c>
    </row>
    <row r="28" spans="1:7" x14ac:dyDescent="0.3">
      <c r="A28" s="91">
        <v>43522</v>
      </c>
      <c r="B28" s="92" t="s">
        <v>500</v>
      </c>
      <c r="C28" s="92" t="s">
        <v>502</v>
      </c>
      <c r="D28" s="92" t="s">
        <v>503</v>
      </c>
      <c r="E28" s="92">
        <v>35</v>
      </c>
      <c r="F28" s="92">
        <v>45.99</v>
      </c>
      <c r="G28" s="92">
        <f t="shared" si="0"/>
        <v>1609.65</v>
      </c>
    </row>
    <row r="29" spans="1:7" x14ac:dyDescent="0.3">
      <c r="A29" s="89">
        <v>43806</v>
      </c>
      <c r="B29" s="90" t="s">
        <v>505</v>
      </c>
      <c r="C29" s="90" t="s">
        <v>498</v>
      </c>
      <c r="D29" s="90" t="s">
        <v>499</v>
      </c>
      <c r="E29" s="90">
        <v>25</v>
      </c>
      <c r="F29" s="90">
        <v>95</v>
      </c>
      <c r="G29" s="90">
        <f t="shared" si="0"/>
        <v>2375</v>
      </c>
    </row>
    <row r="30" spans="1:7" x14ac:dyDescent="0.3">
      <c r="A30" s="91">
        <v>43494</v>
      </c>
      <c r="B30" s="92" t="s">
        <v>500</v>
      </c>
      <c r="C30" s="92" t="s">
        <v>502</v>
      </c>
      <c r="D30" s="92" t="s">
        <v>501</v>
      </c>
      <c r="E30" s="92">
        <v>50</v>
      </c>
      <c r="F30" s="92">
        <v>48.99</v>
      </c>
      <c r="G30" s="92">
        <f t="shared" si="0"/>
        <v>2449.5</v>
      </c>
    </row>
    <row r="31" spans="1:7" x14ac:dyDescent="0.3">
      <c r="A31" s="89">
        <v>43722</v>
      </c>
      <c r="B31" s="90" t="s">
        <v>500</v>
      </c>
      <c r="C31" s="90" t="s">
        <v>498</v>
      </c>
      <c r="D31" s="90" t="s">
        <v>499</v>
      </c>
      <c r="E31" s="90">
        <v>85</v>
      </c>
      <c r="F31" s="90">
        <v>29.99</v>
      </c>
      <c r="G31" s="90">
        <f t="shared" si="0"/>
        <v>2549.15</v>
      </c>
    </row>
    <row r="32" spans="1:7" x14ac:dyDescent="0.3">
      <c r="A32" s="91">
        <v>43636</v>
      </c>
      <c r="B32" s="92" t="s">
        <v>500</v>
      </c>
      <c r="C32" s="92" t="s">
        <v>502</v>
      </c>
      <c r="D32" s="92" t="s">
        <v>501</v>
      </c>
      <c r="E32" s="92">
        <v>25</v>
      </c>
      <c r="F32" s="92">
        <v>25.695</v>
      </c>
      <c r="G32" s="92">
        <f t="shared" si="0"/>
        <v>642.375</v>
      </c>
    </row>
    <row r="33" spans="1:7" x14ac:dyDescent="0.3">
      <c r="A33" s="89">
        <v>43686</v>
      </c>
      <c r="B33" s="90" t="s">
        <v>505</v>
      </c>
      <c r="C33" s="90" t="s">
        <v>498</v>
      </c>
      <c r="D33" s="90" t="s">
        <v>499</v>
      </c>
      <c r="E33" s="90">
        <v>37</v>
      </c>
      <c r="F33" s="90">
        <v>18.989999999999998</v>
      </c>
      <c r="G33" s="90">
        <f t="shared" si="0"/>
        <v>702.63</v>
      </c>
    </row>
    <row r="34" spans="1:7" x14ac:dyDescent="0.3">
      <c r="A34" s="91">
        <v>43529</v>
      </c>
      <c r="B34" s="92" t="s">
        <v>505</v>
      </c>
      <c r="C34" s="92" t="s">
        <v>502</v>
      </c>
      <c r="D34" s="92" t="s">
        <v>501</v>
      </c>
      <c r="E34" s="92">
        <v>50</v>
      </c>
      <c r="F34" s="92">
        <v>19.989999999999998</v>
      </c>
      <c r="G34" s="92">
        <f t="shared" si="0"/>
        <v>999.49999999999989</v>
      </c>
    </row>
    <row r="35" spans="1:7" x14ac:dyDescent="0.3">
      <c r="A35" s="89">
        <v>43623</v>
      </c>
      <c r="B35" s="90" t="s">
        <v>505</v>
      </c>
      <c r="C35" s="90" t="s">
        <v>498</v>
      </c>
      <c r="D35" s="90" t="s">
        <v>501</v>
      </c>
      <c r="E35" s="90">
        <v>15</v>
      </c>
      <c r="F35" s="90">
        <v>109.99</v>
      </c>
      <c r="G35" s="90">
        <f t="shared" si="0"/>
        <v>1649.85</v>
      </c>
    </row>
    <row r="36" spans="1:7" x14ac:dyDescent="0.3">
      <c r="A36" s="91">
        <v>43549</v>
      </c>
      <c r="B36" s="92" t="s">
        <v>505</v>
      </c>
      <c r="C36" s="92" t="s">
        <v>502</v>
      </c>
      <c r="D36" s="92" t="s">
        <v>501</v>
      </c>
      <c r="E36" s="92">
        <v>30</v>
      </c>
      <c r="F36" s="92">
        <v>59.99</v>
      </c>
      <c r="G36" s="92">
        <f t="shared" si="0"/>
        <v>1799.7</v>
      </c>
    </row>
    <row r="37" spans="1:7" x14ac:dyDescent="0.3">
      <c r="A37" s="89">
        <v>43815</v>
      </c>
      <c r="B37" s="90" t="s">
        <v>505</v>
      </c>
      <c r="C37" s="90" t="s">
        <v>502</v>
      </c>
      <c r="D37" s="90" t="s">
        <v>499</v>
      </c>
      <c r="E37" s="90">
        <v>40</v>
      </c>
      <c r="F37" s="90">
        <v>8.99</v>
      </c>
      <c r="G37" s="90">
        <f t="shared" si="0"/>
        <v>359.6</v>
      </c>
    </row>
    <row r="38" spans="1:7" x14ac:dyDescent="0.3">
      <c r="A38" s="91">
        <v>43550</v>
      </c>
      <c r="B38" s="92" t="s">
        <v>500</v>
      </c>
      <c r="C38" s="92" t="s">
        <v>502</v>
      </c>
      <c r="D38" s="92" t="s">
        <v>503</v>
      </c>
      <c r="E38" s="92">
        <v>20</v>
      </c>
      <c r="F38" s="92">
        <v>39.99</v>
      </c>
      <c r="G38" s="92">
        <f t="shared" si="0"/>
        <v>799.80000000000007</v>
      </c>
    </row>
    <row r="39" spans="1:7" x14ac:dyDescent="0.3">
      <c r="A39" s="89">
        <v>43689</v>
      </c>
      <c r="B39" s="90" t="s">
        <v>505</v>
      </c>
      <c r="C39" s="90" t="s">
        <v>502</v>
      </c>
      <c r="D39" s="90" t="s">
        <v>504</v>
      </c>
      <c r="E39" s="90">
        <v>50</v>
      </c>
      <c r="F39" s="90">
        <v>25.5</v>
      </c>
      <c r="G39" s="90">
        <f t="shared" si="0"/>
        <v>1275</v>
      </c>
    </row>
    <row r="40" spans="1:7" x14ac:dyDescent="0.3">
      <c r="A40" s="91">
        <v>43707</v>
      </c>
      <c r="B40" s="92" t="s">
        <v>505</v>
      </c>
      <c r="C40" s="92" t="s">
        <v>502</v>
      </c>
      <c r="D40" s="92" t="s">
        <v>504</v>
      </c>
      <c r="E40" s="92">
        <v>70</v>
      </c>
      <c r="F40" s="92">
        <v>75</v>
      </c>
      <c r="G40" s="92">
        <f t="shared" si="0"/>
        <v>5250</v>
      </c>
    </row>
    <row r="41" spans="1:7" x14ac:dyDescent="0.3">
      <c r="A41" s="89">
        <v>43740</v>
      </c>
      <c r="B41" s="90" t="s">
        <v>500</v>
      </c>
      <c r="C41" s="90" t="s">
        <v>502</v>
      </c>
      <c r="D41" s="90" t="s">
        <v>501</v>
      </c>
      <c r="E41" s="90">
        <v>110</v>
      </c>
      <c r="F41" s="90">
        <v>2.99</v>
      </c>
      <c r="G41" s="90">
        <f t="shared" si="0"/>
        <v>328.90000000000003</v>
      </c>
    </row>
    <row r="42" spans="1:7" x14ac:dyDescent="0.3">
      <c r="A42" s="91">
        <v>43823</v>
      </c>
      <c r="B42" s="92" t="s">
        <v>505</v>
      </c>
      <c r="C42" s="92" t="s">
        <v>502</v>
      </c>
      <c r="D42" s="92" t="s">
        <v>499</v>
      </c>
      <c r="E42" s="92">
        <v>50</v>
      </c>
      <c r="F42" s="92">
        <v>55</v>
      </c>
      <c r="G42" s="92">
        <f t="shared" si="0"/>
        <v>2750</v>
      </c>
    </row>
    <row r="43" spans="1:7" x14ac:dyDescent="0.3">
      <c r="A43" s="89">
        <v>43804</v>
      </c>
      <c r="B43" s="90" t="s">
        <v>500</v>
      </c>
      <c r="C43" s="90" t="s">
        <v>502</v>
      </c>
      <c r="D43" s="90" t="s">
        <v>499</v>
      </c>
      <c r="E43" s="90">
        <v>50</v>
      </c>
      <c r="F43" s="90">
        <v>95</v>
      </c>
      <c r="G43" s="90">
        <f t="shared" si="0"/>
        <v>4750</v>
      </c>
    </row>
  </sheetData>
  <mergeCells count="2">
    <mergeCell ref="J1:J3"/>
    <mergeCell ref="K1:K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B19E-5E0E-4486-BEDB-9ACB120179B4}">
  <sheetPr>
    <tabColor rgb="FF00B0F0"/>
  </sheetPr>
  <dimension ref="A1:K15"/>
  <sheetViews>
    <sheetView workbookViewId="0">
      <selection activeCell="G8" sqref="G8:I8"/>
    </sheetView>
  </sheetViews>
  <sheetFormatPr defaultRowHeight="18" x14ac:dyDescent="0.35"/>
  <cols>
    <col min="1" max="1" width="33.77734375" style="98" customWidth="1"/>
    <col min="2" max="2" width="12.5546875" style="98" customWidth="1"/>
    <col min="3" max="3" width="15" style="98" customWidth="1"/>
    <col min="4" max="6" width="8.88671875" style="98"/>
    <col min="7" max="7" width="16.109375" style="98" customWidth="1"/>
    <col min="8" max="8" width="18.5546875" style="98" customWidth="1"/>
    <col min="9" max="16384" width="8.88671875" style="98"/>
  </cols>
  <sheetData>
    <row r="1" spans="1:11" ht="20.399999999999999" thickBot="1" x14ac:dyDescent="0.5">
      <c r="A1" s="95" t="s">
        <v>508</v>
      </c>
      <c r="B1" s="96" t="s">
        <v>509</v>
      </c>
      <c r="C1" s="97" t="s">
        <v>510</v>
      </c>
      <c r="G1" s="108" t="s">
        <v>102</v>
      </c>
      <c r="H1" s="109" t="s">
        <v>525</v>
      </c>
    </row>
    <row r="2" spans="1:11" ht="19.8" x14ac:dyDescent="0.45">
      <c r="A2" s="99" t="s">
        <v>519</v>
      </c>
      <c r="B2" s="100">
        <v>350</v>
      </c>
      <c r="C2" s="101"/>
      <c r="G2" s="98">
        <f>MAX(B2:B15)</f>
        <v>350</v>
      </c>
      <c r="H2" s="98">
        <f>LARGE(B2:B15,2)</f>
        <v>345</v>
      </c>
    </row>
    <row r="3" spans="1:11" ht="19.8" x14ac:dyDescent="0.45">
      <c r="A3" s="102" t="s">
        <v>517</v>
      </c>
      <c r="B3" s="103">
        <v>345</v>
      </c>
      <c r="C3" s="104"/>
    </row>
    <row r="4" spans="1:11" ht="19.8" x14ac:dyDescent="0.45">
      <c r="A4" s="102" t="s">
        <v>518</v>
      </c>
      <c r="B4" s="103">
        <v>300</v>
      </c>
      <c r="C4" s="104"/>
      <c r="G4" s="110" t="s">
        <v>107</v>
      </c>
      <c r="H4" s="111" t="s">
        <v>526</v>
      </c>
    </row>
    <row r="5" spans="1:11" ht="19.8" x14ac:dyDescent="0.45">
      <c r="A5" s="102" t="s">
        <v>512</v>
      </c>
      <c r="B5" s="103">
        <v>280</v>
      </c>
      <c r="C5" s="104"/>
      <c r="G5" s="98">
        <f>MIN(B2:B15)</f>
        <v>125</v>
      </c>
      <c r="H5" s="98">
        <f>SMALL(B2:B15,4)</f>
        <v>230</v>
      </c>
      <c r="K5" s="98">
        <v>6</v>
      </c>
    </row>
    <row r="6" spans="1:11" ht="19.8" x14ac:dyDescent="0.45">
      <c r="A6" s="102" t="s">
        <v>513</v>
      </c>
      <c r="B6" s="103">
        <v>275</v>
      </c>
      <c r="C6" s="104"/>
    </row>
    <row r="7" spans="1:11" ht="19.8" x14ac:dyDescent="0.45">
      <c r="A7" s="102" t="s">
        <v>514</v>
      </c>
      <c r="B7" s="103">
        <v>270</v>
      </c>
      <c r="C7" s="104"/>
      <c r="G7" s="112" t="s">
        <v>527</v>
      </c>
      <c r="H7" s="112"/>
      <c r="I7" s="112"/>
      <c r="J7" s="112"/>
    </row>
    <row r="8" spans="1:11" ht="19.8" x14ac:dyDescent="0.45">
      <c r="A8" s="102" t="s">
        <v>515</v>
      </c>
      <c r="B8" s="103">
        <v>268</v>
      </c>
      <c r="C8" s="104"/>
      <c r="G8" s="145">
        <f>SUMIFS(B2:B15,B2:B15,"&gt;="&amp;LARGE(B2:B15,K5))</f>
        <v>1820</v>
      </c>
      <c r="H8" s="145"/>
      <c r="I8" s="145"/>
    </row>
    <row r="9" spans="1:11" ht="19.8" x14ac:dyDescent="0.45">
      <c r="A9" s="102" t="s">
        <v>516</v>
      </c>
      <c r="B9" s="103">
        <v>252</v>
      </c>
      <c r="C9" s="104"/>
    </row>
    <row r="10" spans="1:11" ht="19.8" x14ac:dyDescent="0.45">
      <c r="A10" s="102" t="s">
        <v>511</v>
      </c>
      <c r="B10" s="103">
        <v>250</v>
      </c>
      <c r="C10" s="104"/>
    </row>
    <row r="11" spans="1:11" ht="19.8" x14ac:dyDescent="0.45">
      <c r="A11" s="102" t="s">
        <v>520</v>
      </c>
      <c r="B11" s="103">
        <v>235</v>
      </c>
      <c r="C11" s="104"/>
    </row>
    <row r="12" spans="1:11" ht="19.8" x14ac:dyDescent="0.45">
      <c r="A12" s="102" t="s">
        <v>521</v>
      </c>
      <c r="B12" s="103">
        <v>230</v>
      </c>
      <c r="C12" s="104"/>
    </row>
    <row r="13" spans="1:11" ht="19.8" x14ac:dyDescent="0.45">
      <c r="A13" s="102" t="s">
        <v>522</v>
      </c>
      <c r="B13" s="103">
        <v>210</v>
      </c>
      <c r="C13" s="104"/>
    </row>
    <row r="14" spans="1:11" ht="19.8" x14ac:dyDescent="0.45">
      <c r="A14" s="102" t="s">
        <v>523</v>
      </c>
      <c r="B14" s="103">
        <v>190</v>
      </c>
      <c r="C14" s="104"/>
    </row>
    <row r="15" spans="1:11" ht="19.8" x14ac:dyDescent="0.45">
      <c r="A15" s="105" t="s">
        <v>524</v>
      </c>
      <c r="B15" s="106">
        <v>125</v>
      </c>
      <c r="C15" s="107"/>
    </row>
  </sheetData>
  <autoFilter ref="A1:C15" xr:uid="{68D2B19E-5E0E-4486-BEDB-9ACB120179B4}">
    <sortState xmlns:xlrd2="http://schemas.microsoft.com/office/spreadsheetml/2017/richdata2" ref="A2:C15">
      <sortCondition descending="1" ref="B1:B15"/>
    </sortState>
  </autoFilter>
  <mergeCells count="1">
    <mergeCell ref="G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EEEAE-1635-4301-8863-0A3AFAB888A5}">
  <sheetPr>
    <tabColor rgb="FF00B0F0"/>
  </sheetPr>
  <dimension ref="A1:H695"/>
  <sheetViews>
    <sheetView workbookViewId="0">
      <selection activeCell="C12" sqref="C12"/>
    </sheetView>
  </sheetViews>
  <sheetFormatPr defaultColWidth="9.33203125" defaultRowHeight="15" x14ac:dyDescent="0.25"/>
  <cols>
    <col min="1" max="1" width="4.6640625" style="114" bestFit="1" customWidth="1"/>
    <col min="2" max="2" width="11" style="114" customWidth="1"/>
    <col min="3" max="3" width="43" style="114" bestFit="1" customWidth="1"/>
    <col min="4" max="4" width="41.5546875" style="114" bestFit="1" customWidth="1"/>
    <col min="5" max="5" width="21.21875" style="114" bestFit="1" customWidth="1"/>
    <col min="6" max="6" width="6.6640625" style="114" customWidth="1"/>
    <col min="7" max="7" width="20.77734375" style="115" bestFit="1" customWidth="1"/>
    <col min="8" max="8" width="18.44140625" style="114" customWidth="1"/>
    <col min="9" max="16384" width="9.33203125" style="114"/>
  </cols>
  <sheetData>
    <row r="1" spans="1:8" ht="15.6" x14ac:dyDescent="0.3">
      <c r="C1" s="122" t="s">
        <v>78</v>
      </c>
      <c r="D1" s="113"/>
      <c r="G1" s="121" t="s">
        <v>530</v>
      </c>
      <c r="H1" s="121" t="s">
        <v>78</v>
      </c>
    </row>
    <row r="2" spans="1:8" ht="15.6" x14ac:dyDescent="0.3">
      <c r="C2" s="123" t="s">
        <v>528</v>
      </c>
      <c r="D2" s="113"/>
      <c r="G2" s="127"/>
      <c r="H2" s="127"/>
    </row>
    <row r="3" spans="1:8" ht="15.6" x14ac:dyDescent="0.3">
      <c r="C3" s="123" t="s">
        <v>529</v>
      </c>
      <c r="D3" s="113"/>
    </row>
    <row r="5" spans="1:8" ht="15.6" x14ac:dyDescent="0.25">
      <c r="A5" s="116" t="s">
        <v>531</v>
      </c>
      <c r="B5" s="116" t="s">
        <v>532</v>
      </c>
      <c r="C5" s="116" t="s">
        <v>533</v>
      </c>
      <c r="D5" s="116" t="s">
        <v>534</v>
      </c>
      <c r="E5" s="116" t="s">
        <v>535</v>
      </c>
      <c r="F5" s="116" t="s">
        <v>536</v>
      </c>
      <c r="G5" s="117" t="s">
        <v>537</v>
      </c>
    </row>
    <row r="6" spans="1:8" x14ac:dyDescent="0.25">
      <c r="A6" s="118">
        <f>SUBTOTAL(3,$B$6:B6)</f>
        <v>1</v>
      </c>
      <c r="B6" s="118" t="s">
        <v>538</v>
      </c>
      <c r="C6" s="118" t="s">
        <v>539</v>
      </c>
      <c r="D6" s="118" t="s">
        <v>540</v>
      </c>
      <c r="E6" s="119">
        <v>2993</v>
      </c>
      <c r="F6" s="118">
        <v>47</v>
      </c>
      <c r="G6" s="120">
        <v>39995</v>
      </c>
    </row>
    <row r="7" spans="1:8" x14ac:dyDescent="0.25">
      <c r="A7" s="118">
        <f>SUBTOTAL(3,$B$6:B7)</f>
        <v>2</v>
      </c>
      <c r="B7" s="118" t="s">
        <v>541</v>
      </c>
      <c r="C7" s="118" t="s">
        <v>542</v>
      </c>
      <c r="D7" s="118" t="s">
        <v>543</v>
      </c>
      <c r="E7" s="119">
        <v>2991</v>
      </c>
      <c r="F7" s="118">
        <v>48</v>
      </c>
      <c r="G7" s="120">
        <v>39895</v>
      </c>
    </row>
    <row r="8" spans="1:8" x14ac:dyDescent="0.25">
      <c r="A8" s="118">
        <f>SUBTOTAL(3,$B$6:B8)</f>
        <v>3</v>
      </c>
      <c r="B8" s="118" t="s">
        <v>544</v>
      </c>
      <c r="C8" s="118" t="s">
        <v>545</v>
      </c>
      <c r="D8" s="118" t="s">
        <v>546</v>
      </c>
      <c r="E8" s="119">
        <v>2984</v>
      </c>
      <c r="F8" s="118">
        <v>36</v>
      </c>
      <c r="G8" s="120">
        <v>40627</v>
      </c>
    </row>
    <row r="9" spans="1:8" x14ac:dyDescent="0.25">
      <c r="A9" s="118">
        <f>SUBTOTAL(3,$B$6:B9)</f>
        <v>4</v>
      </c>
      <c r="B9" s="118" t="s">
        <v>547</v>
      </c>
      <c r="C9" s="118" t="s">
        <v>548</v>
      </c>
      <c r="D9" s="118" t="s">
        <v>549</v>
      </c>
      <c r="E9" s="119">
        <v>2978</v>
      </c>
      <c r="F9" s="118">
        <v>47</v>
      </c>
      <c r="G9" s="120">
        <v>39996</v>
      </c>
    </row>
    <row r="10" spans="1:8" x14ac:dyDescent="0.25">
      <c r="A10" s="118">
        <f>SUBTOTAL(3,$B$6:B10)</f>
        <v>5</v>
      </c>
      <c r="B10" s="118" t="s">
        <v>550</v>
      </c>
      <c r="C10" s="118" t="s">
        <v>551</v>
      </c>
      <c r="D10" s="118" t="s">
        <v>552</v>
      </c>
      <c r="E10" s="119">
        <v>2965</v>
      </c>
      <c r="F10" s="118">
        <v>34</v>
      </c>
      <c r="G10" s="120">
        <v>40252</v>
      </c>
    </row>
    <row r="11" spans="1:8" x14ac:dyDescent="0.25">
      <c r="A11" s="118">
        <f>SUBTOTAL(3,$B$6:B11)</f>
        <v>6</v>
      </c>
      <c r="B11" s="118" t="s">
        <v>553</v>
      </c>
      <c r="C11" s="118" t="s">
        <v>554</v>
      </c>
      <c r="D11" s="118" t="s">
        <v>555</v>
      </c>
      <c r="E11" s="119">
        <v>2960</v>
      </c>
      <c r="F11" s="118">
        <v>39</v>
      </c>
      <c r="G11" s="120">
        <v>40442</v>
      </c>
    </row>
    <row r="12" spans="1:8" x14ac:dyDescent="0.25">
      <c r="A12" s="118">
        <f>SUBTOTAL(3,$B$6:B12)</f>
        <v>7</v>
      </c>
      <c r="B12" s="118" t="s">
        <v>556</v>
      </c>
      <c r="C12" s="118" t="s">
        <v>557</v>
      </c>
      <c r="D12" s="118" t="s">
        <v>558</v>
      </c>
      <c r="E12" s="119">
        <v>2960</v>
      </c>
      <c r="F12" s="118">
        <v>23</v>
      </c>
      <c r="G12" s="120">
        <v>43552</v>
      </c>
    </row>
    <row r="13" spans="1:8" x14ac:dyDescent="0.25">
      <c r="A13" s="118">
        <f>SUBTOTAL(3,$B$6:B13)</f>
        <v>8</v>
      </c>
      <c r="B13" s="118" t="s">
        <v>559</v>
      </c>
      <c r="C13" s="118" t="s">
        <v>560</v>
      </c>
      <c r="D13" s="118" t="s">
        <v>561</v>
      </c>
      <c r="E13" s="119">
        <v>2959</v>
      </c>
      <c r="F13" s="118">
        <v>48</v>
      </c>
      <c r="G13" s="120">
        <v>39919</v>
      </c>
    </row>
    <row r="14" spans="1:8" x14ac:dyDescent="0.25">
      <c r="A14" s="118">
        <f>SUBTOTAL(3,$B$6:B14)</f>
        <v>9</v>
      </c>
      <c r="B14" s="118" t="s">
        <v>562</v>
      </c>
      <c r="C14" s="118" t="s">
        <v>563</v>
      </c>
      <c r="D14" s="118" t="s">
        <v>564</v>
      </c>
      <c r="E14" s="119">
        <v>2954</v>
      </c>
      <c r="F14" s="118">
        <v>34</v>
      </c>
      <c r="G14" s="120">
        <v>40242</v>
      </c>
    </row>
    <row r="15" spans="1:8" x14ac:dyDescent="0.25">
      <c r="A15" s="118">
        <f>SUBTOTAL(3,$B$6:B15)</f>
        <v>10</v>
      </c>
      <c r="B15" s="118" t="s">
        <v>565</v>
      </c>
      <c r="C15" s="118" t="s">
        <v>566</v>
      </c>
      <c r="D15" s="118" t="s">
        <v>567</v>
      </c>
      <c r="E15" s="119">
        <v>2952</v>
      </c>
      <c r="F15" s="118">
        <v>49</v>
      </c>
      <c r="G15" s="120">
        <v>39888</v>
      </c>
    </row>
    <row r="16" spans="1:8" x14ac:dyDescent="0.25">
      <c r="A16" s="118">
        <f>SUBTOTAL(3,$B$6:B16)</f>
        <v>11</v>
      </c>
      <c r="B16" s="118" t="s">
        <v>568</v>
      </c>
      <c r="C16" s="118" t="s">
        <v>569</v>
      </c>
      <c r="D16" s="118" t="s">
        <v>564</v>
      </c>
      <c r="E16" s="119">
        <v>2952</v>
      </c>
      <c r="F16" s="118">
        <v>50</v>
      </c>
      <c r="G16" s="120">
        <v>38945</v>
      </c>
    </row>
    <row r="17" spans="1:7" x14ac:dyDescent="0.25">
      <c r="A17" s="118">
        <f>SUBTOTAL(3,$B$6:B17)</f>
        <v>12</v>
      </c>
      <c r="B17" s="118" t="s">
        <v>570</v>
      </c>
      <c r="C17" s="118" t="s">
        <v>571</v>
      </c>
      <c r="D17" s="118" t="s">
        <v>572</v>
      </c>
      <c r="E17" s="119">
        <v>2939</v>
      </c>
      <c r="F17" s="118">
        <v>42</v>
      </c>
      <c r="G17" s="120">
        <v>40261</v>
      </c>
    </row>
    <row r="18" spans="1:7" x14ac:dyDescent="0.25">
      <c r="A18" s="118">
        <f>SUBTOTAL(3,$B$6:B18)</f>
        <v>13</v>
      </c>
      <c r="B18" s="118" t="s">
        <v>573</v>
      </c>
      <c r="C18" s="118" t="s">
        <v>574</v>
      </c>
      <c r="D18" s="118" t="s">
        <v>543</v>
      </c>
      <c r="E18" s="119">
        <v>2936</v>
      </c>
      <c r="F18" s="118">
        <v>27</v>
      </c>
      <c r="G18" s="120">
        <v>43259</v>
      </c>
    </row>
    <row r="19" spans="1:7" x14ac:dyDescent="0.25">
      <c r="A19" s="118">
        <f>SUBTOTAL(3,$B$6:B19)</f>
        <v>14</v>
      </c>
      <c r="B19" s="118" t="s">
        <v>575</v>
      </c>
      <c r="C19" s="118" t="s">
        <v>576</v>
      </c>
      <c r="D19" s="118" t="s">
        <v>564</v>
      </c>
      <c r="E19" s="119">
        <v>2933</v>
      </c>
      <c r="F19" s="118">
        <v>34</v>
      </c>
      <c r="G19" s="120">
        <v>40241</v>
      </c>
    </row>
    <row r="20" spans="1:7" x14ac:dyDescent="0.25">
      <c r="A20" s="118">
        <f>SUBTOTAL(3,$B$6:B20)</f>
        <v>15</v>
      </c>
      <c r="B20" s="118" t="s">
        <v>577</v>
      </c>
      <c r="C20" s="118" t="s">
        <v>578</v>
      </c>
      <c r="D20" s="118" t="s">
        <v>579</v>
      </c>
      <c r="E20" s="119">
        <v>2928</v>
      </c>
      <c r="F20" s="118">
        <v>49</v>
      </c>
      <c r="G20" s="120">
        <v>39843</v>
      </c>
    </row>
    <row r="21" spans="1:7" x14ac:dyDescent="0.25">
      <c r="A21" s="118">
        <f>SUBTOTAL(3,$B$6:B21)</f>
        <v>16</v>
      </c>
      <c r="B21" s="118" t="s">
        <v>580</v>
      </c>
      <c r="C21" s="118" t="s">
        <v>581</v>
      </c>
      <c r="D21" s="118" t="s">
        <v>564</v>
      </c>
      <c r="E21" s="119">
        <v>2928</v>
      </c>
      <c r="F21" s="118">
        <v>33</v>
      </c>
      <c r="G21" s="120">
        <v>40295</v>
      </c>
    </row>
    <row r="22" spans="1:7" x14ac:dyDescent="0.25">
      <c r="A22" s="118">
        <f>SUBTOTAL(3,$B$6:B22)</f>
        <v>17</v>
      </c>
      <c r="B22" s="118" t="s">
        <v>582</v>
      </c>
      <c r="C22" s="118" t="s">
        <v>583</v>
      </c>
      <c r="D22" s="118" t="s">
        <v>561</v>
      </c>
      <c r="E22" s="119">
        <v>2927</v>
      </c>
      <c r="F22" s="118">
        <v>48</v>
      </c>
      <c r="G22" s="120">
        <v>39924</v>
      </c>
    </row>
    <row r="23" spans="1:7" x14ac:dyDescent="0.25">
      <c r="A23" s="118">
        <f>SUBTOTAL(3,$B$6:B23)</f>
        <v>18</v>
      </c>
      <c r="B23" s="118" t="s">
        <v>584</v>
      </c>
      <c r="C23" s="118" t="s">
        <v>585</v>
      </c>
      <c r="D23" s="118" t="s">
        <v>586</v>
      </c>
      <c r="E23" s="119">
        <v>2926</v>
      </c>
      <c r="F23" s="118">
        <v>34</v>
      </c>
      <c r="G23" s="120">
        <v>40245</v>
      </c>
    </row>
    <row r="24" spans="1:7" x14ac:dyDescent="0.25">
      <c r="A24" s="118">
        <f>SUBTOTAL(3,$B$6:B24)</f>
        <v>19</v>
      </c>
      <c r="B24" s="118" t="s">
        <v>587</v>
      </c>
      <c r="C24" s="118" t="s">
        <v>588</v>
      </c>
      <c r="D24" s="118" t="s">
        <v>572</v>
      </c>
      <c r="E24" s="119">
        <v>2926</v>
      </c>
      <c r="F24" s="118">
        <v>39</v>
      </c>
      <c r="G24" s="120">
        <v>40449</v>
      </c>
    </row>
    <row r="25" spans="1:7" x14ac:dyDescent="0.25">
      <c r="A25" s="118">
        <f>SUBTOTAL(3,$B$6:B25)</f>
        <v>20</v>
      </c>
      <c r="B25" s="118" t="s">
        <v>589</v>
      </c>
      <c r="C25" s="118" t="s">
        <v>590</v>
      </c>
      <c r="D25" s="118" t="s">
        <v>591</v>
      </c>
      <c r="E25" s="119">
        <v>2920</v>
      </c>
      <c r="F25" s="118">
        <v>51</v>
      </c>
      <c r="G25" s="120">
        <v>38861</v>
      </c>
    </row>
    <row r="26" spans="1:7" x14ac:dyDescent="0.25">
      <c r="A26" s="118">
        <f>SUBTOTAL(3,$B$6:B26)</f>
        <v>21</v>
      </c>
      <c r="B26" s="118" t="s">
        <v>592</v>
      </c>
      <c r="C26" s="118" t="s">
        <v>593</v>
      </c>
      <c r="D26" s="118" t="s">
        <v>594</v>
      </c>
      <c r="E26" s="119">
        <v>2918</v>
      </c>
      <c r="F26" s="118">
        <v>51</v>
      </c>
      <c r="G26" s="120">
        <v>38883</v>
      </c>
    </row>
    <row r="27" spans="1:7" x14ac:dyDescent="0.25">
      <c r="A27" s="118">
        <f>SUBTOTAL(3,$B$6:B27)</f>
        <v>22</v>
      </c>
      <c r="B27" s="118" t="s">
        <v>595</v>
      </c>
      <c r="C27" s="118" t="s">
        <v>596</v>
      </c>
      <c r="D27" s="118" t="s">
        <v>597</v>
      </c>
      <c r="E27" s="119">
        <v>2914</v>
      </c>
      <c r="F27" s="118">
        <v>34</v>
      </c>
      <c r="G27" s="120">
        <v>40234</v>
      </c>
    </row>
    <row r="28" spans="1:7" x14ac:dyDescent="0.25">
      <c r="A28" s="118">
        <f>SUBTOTAL(3,$B$6:B28)</f>
        <v>23</v>
      </c>
      <c r="B28" s="118" t="s">
        <v>598</v>
      </c>
      <c r="C28" s="118" t="s">
        <v>599</v>
      </c>
      <c r="D28" s="118" t="s">
        <v>600</v>
      </c>
      <c r="E28" s="119">
        <v>2908</v>
      </c>
      <c r="F28" s="118">
        <v>44</v>
      </c>
      <c r="G28" s="120">
        <v>40189</v>
      </c>
    </row>
    <row r="29" spans="1:7" x14ac:dyDescent="0.25">
      <c r="A29" s="118">
        <f>SUBTOTAL(3,$B$6:B29)</f>
        <v>24</v>
      </c>
      <c r="B29" s="118" t="s">
        <v>601</v>
      </c>
      <c r="C29" s="118" t="s">
        <v>602</v>
      </c>
      <c r="D29" s="118" t="s">
        <v>591</v>
      </c>
      <c r="E29" s="119">
        <v>2907</v>
      </c>
      <c r="F29" s="118">
        <v>37</v>
      </c>
      <c r="G29" s="120">
        <v>40570</v>
      </c>
    </row>
    <row r="30" spans="1:7" x14ac:dyDescent="0.25">
      <c r="A30" s="118">
        <f>SUBTOTAL(3,$B$6:B30)</f>
        <v>25</v>
      </c>
      <c r="B30" s="118" t="s">
        <v>603</v>
      </c>
      <c r="C30" s="118" t="s">
        <v>604</v>
      </c>
      <c r="D30" s="118" t="s">
        <v>564</v>
      </c>
      <c r="E30" s="119">
        <v>2905</v>
      </c>
      <c r="F30" s="118">
        <v>22</v>
      </c>
      <c r="G30" s="120">
        <v>43571</v>
      </c>
    </row>
    <row r="31" spans="1:7" x14ac:dyDescent="0.25">
      <c r="A31" s="118">
        <f>SUBTOTAL(3,$B$6:B31)</f>
        <v>26</v>
      </c>
      <c r="B31" s="118" t="s">
        <v>605</v>
      </c>
      <c r="C31" s="118" t="s">
        <v>606</v>
      </c>
      <c r="D31" s="118" t="s">
        <v>594</v>
      </c>
      <c r="E31" s="119">
        <v>2901</v>
      </c>
      <c r="F31" s="118">
        <v>45</v>
      </c>
      <c r="G31" s="120">
        <v>40094</v>
      </c>
    </row>
    <row r="32" spans="1:7" x14ac:dyDescent="0.25">
      <c r="A32" s="118">
        <f>SUBTOTAL(3,$B$6:B32)</f>
        <v>27</v>
      </c>
      <c r="B32" s="118" t="s">
        <v>607</v>
      </c>
      <c r="C32" s="118" t="s">
        <v>608</v>
      </c>
      <c r="D32" s="118" t="s">
        <v>609</v>
      </c>
      <c r="E32" s="119">
        <v>2898</v>
      </c>
      <c r="F32" s="118">
        <v>49</v>
      </c>
      <c r="G32" s="120">
        <v>39846</v>
      </c>
    </row>
    <row r="33" spans="1:7" x14ac:dyDescent="0.25">
      <c r="A33" s="118">
        <f>SUBTOTAL(3,$B$6:B33)</f>
        <v>28</v>
      </c>
      <c r="B33" s="118" t="s">
        <v>610</v>
      </c>
      <c r="C33" s="118" t="s">
        <v>611</v>
      </c>
      <c r="D33" s="118" t="s">
        <v>549</v>
      </c>
      <c r="E33" s="119">
        <v>2894</v>
      </c>
      <c r="F33" s="118">
        <v>46</v>
      </c>
      <c r="G33" s="120">
        <v>40025</v>
      </c>
    </row>
    <row r="34" spans="1:7" x14ac:dyDescent="0.25">
      <c r="A34" s="118">
        <f>SUBTOTAL(3,$B$6:B34)</f>
        <v>29</v>
      </c>
      <c r="B34" s="118" t="s">
        <v>612</v>
      </c>
      <c r="C34" s="118" t="s">
        <v>613</v>
      </c>
      <c r="D34" s="118" t="s">
        <v>564</v>
      </c>
      <c r="E34" s="119">
        <v>2894</v>
      </c>
      <c r="F34" s="118">
        <v>35</v>
      </c>
      <c r="G34" s="120">
        <v>40184</v>
      </c>
    </row>
    <row r="35" spans="1:7" x14ac:dyDescent="0.25">
      <c r="A35" s="118">
        <f>SUBTOTAL(3,$B$6:B35)</f>
        <v>30</v>
      </c>
      <c r="B35" s="118" t="s">
        <v>614</v>
      </c>
      <c r="C35" s="118" t="s">
        <v>615</v>
      </c>
      <c r="D35" s="118" t="s">
        <v>540</v>
      </c>
      <c r="E35" s="119">
        <v>2888</v>
      </c>
      <c r="F35" s="118">
        <v>35</v>
      </c>
      <c r="G35" s="120">
        <v>40690</v>
      </c>
    </row>
    <row r="36" spans="1:7" x14ac:dyDescent="0.25">
      <c r="A36" s="118">
        <f>SUBTOTAL(3,$B$6:B36)</f>
        <v>31</v>
      </c>
      <c r="B36" s="118" t="s">
        <v>616</v>
      </c>
      <c r="C36" s="118" t="s">
        <v>617</v>
      </c>
      <c r="D36" s="118" t="s">
        <v>591</v>
      </c>
      <c r="E36" s="119">
        <v>2887</v>
      </c>
      <c r="F36" s="118">
        <v>49</v>
      </c>
      <c r="G36" s="120">
        <v>39840</v>
      </c>
    </row>
    <row r="37" spans="1:7" x14ac:dyDescent="0.25">
      <c r="A37" s="118">
        <f>SUBTOTAL(3,$B$6:B37)</f>
        <v>32</v>
      </c>
      <c r="B37" s="118" t="s">
        <v>618</v>
      </c>
      <c r="C37" s="118" t="s">
        <v>619</v>
      </c>
      <c r="D37" s="118" t="s">
        <v>620</v>
      </c>
      <c r="E37" s="119">
        <v>2885</v>
      </c>
      <c r="F37" s="118">
        <v>38</v>
      </c>
      <c r="G37" s="120">
        <v>40534</v>
      </c>
    </row>
    <row r="38" spans="1:7" x14ac:dyDescent="0.25">
      <c r="A38" s="118">
        <f>SUBTOTAL(3,$B$6:B38)</f>
        <v>33</v>
      </c>
      <c r="B38" s="118" t="s">
        <v>621</v>
      </c>
      <c r="C38" s="118" t="s">
        <v>622</v>
      </c>
      <c r="D38" s="118" t="s">
        <v>623</v>
      </c>
      <c r="E38" s="119">
        <v>2883</v>
      </c>
      <c r="F38" s="118">
        <v>28</v>
      </c>
      <c r="G38" s="120">
        <v>43242</v>
      </c>
    </row>
    <row r="39" spans="1:7" x14ac:dyDescent="0.25">
      <c r="A39" s="118">
        <f>SUBTOTAL(3,$B$6:B39)</f>
        <v>34</v>
      </c>
      <c r="B39" s="118" t="s">
        <v>624</v>
      </c>
      <c r="C39" s="118" t="s">
        <v>625</v>
      </c>
      <c r="D39" s="118" t="s">
        <v>558</v>
      </c>
      <c r="E39" s="119">
        <v>2883</v>
      </c>
      <c r="F39" s="118">
        <v>36</v>
      </c>
      <c r="G39" s="120">
        <v>40673</v>
      </c>
    </row>
    <row r="40" spans="1:7" x14ac:dyDescent="0.25">
      <c r="A40" s="118">
        <f>SUBTOTAL(3,$B$6:B40)</f>
        <v>35</v>
      </c>
      <c r="B40" s="118" t="s">
        <v>626</v>
      </c>
      <c r="C40" s="118" t="s">
        <v>627</v>
      </c>
      <c r="D40" s="118" t="s">
        <v>620</v>
      </c>
      <c r="E40" s="119">
        <v>2872</v>
      </c>
      <c r="F40" s="118">
        <v>31</v>
      </c>
      <c r="G40" s="120">
        <v>40437</v>
      </c>
    </row>
    <row r="41" spans="1:7" x14ac:dyDescent="0.25">
      <c r="A41" s="118">
        <f>SUBTOTAL(3,$B$6:B41)</f>
        <v>36</v>
      </c>
      <c r="B41" s="118" t="s">
        <v>628</v>
      </c>
      <c r="C41" s="118" t="s">
        <v>629</v>
      </c>
      <c r="D41" s="118" t="s">
        <v>579</v>
      </c>
      <c r="E41" s="119">
        <v>2868</v>
      </c>
      <c r="F41" s="118">
        <v>24</v>
      </c>
      <c r="G41" s="120">
        <v>43458</v>
      </c>
    </row>
    <row r="42" spans="1:7" x14ac:dyDescent="0.25">
      <c r="A42" s="118">
        <f>SUBTOTAL(3,$B$6:B42)</f>
        <v>37</v>
      </c>
      <c r="B42" s="118" t="s">
        <v>630</v>
      </c>
      <c r="C42" s="118" t="s">
        <v>631</v>
      </c>
      <c r="D42" s="118" t="s">
        <v>540</v>
      </c>
      <c r="E42" s="119">
        <v>2867</v>
      </c>
      <c r="F42" s="118">
        <v>42</v>
      </c>
      <c r="G42" s="120">
        <v>40294</v>
      </c>
    </row>
    <row r="43" spans="1:7" x14ac:dyDescent="0.25">
      <c r="A43" s="118">
        <f>SUBTOTAL(3,$B$6:B43)</f>
        <v>38</v>
      </c>
      <c r="B43" s="118" t="s">
        <v>632</v>
      </c>
      <c r="C43" s="118" t="s">
        <v>633</v>
      </c>
      <c r="D43" s="118" t="s">
        <v>561</v>
      </c>
      <c r="E43" s="119">
        <v>2865</v>
      </c>
      <c r="F43" s="118">
        <v>42</v>
      </c>
      <c r="G43" s="120">
        <v>40262</v>
      </c>
    </row>
    <row r="44" spans="1:7" x14ac:dyDescent="0.25">
      <c r="A44" s="118">
        <f>SUBTOTAL(3,$B$6:B44)</f>
        <v>39</v>
      </c>
      <c r="B44" s="118" t="s">
        <v>634</v>
      </c>
      <c r="C44" s="118" t="s">
        <v>635</v>
      </c>
      <c r="D44" s="118" t="s">
        <v>636</v>
      </c>
      <c r="E44" s="119">
        <v>2860</v>
      </c>
      <c r="F44" s="118">
        <v>41</v>
      </c>
      <c r="G44" s="120">
        <v>40322</v>
      </c>
    </row>
    <row r="45" spans="1:7" x14ac:dyDescent="0.25">
      <c r="A45" s="118">
        <f>SUBTOTAL(3,$B$6:B45)</f>
        <v>40</v>
      </c>
      <c r="B45" s="118" t="s">
        <v>637</v>
      </c>
      <c r="C45" s="118" t="s">
        <v>638</v>
      </c>
      <c r="D45" s="118" t="s">
        <v>564</v>
      </c>
      <c r="E45" s="119">
        <v>2855</v>
      </c>
      <c r="F45" s="118">
        <v>24</v>
      </c>
      <c r="G45" s="120">
        <v>43855</v>
      </c>
    </row>
    <row r="46" spans="1:7" x14ac:dyDescent="0.25">
      <c r="A46" s="118">
        <f>SUBTOTAL(3,$B$6:B46)</f>
        <v>41</v>
      </c>
      <c r="B46" s="118" t="s">
        <v>639</v>
      </c>
      <c r="C46" s="118" t="s">
        <v>640</v>
      </c>
      <c r="D46" s="118" t="s">
        <v>641</v>
      </c>
      <c r="E46" s="119">
        <v>2850</v>
      </c>
      <c r="F46" s="118">
        <v>45</v>
      </c>
      <c r="G46" s="120">
        <v>40066</v>
      </c>
    </row>
    <row r="47" spans="1:7" x14ac:dyDescent="0.25">
      <c r="A47" s="118">
        <f>SUBTOTAL(3,$B$6:B47)</f>
        <v>42</v>
      </c>
      <c r="B47" s="118" t="s">
        <v>642</v>
      </c>
      <c r="C47" s="118" t="s">
        <v>643</v>
      </c>
      <c r="D47" s="118" t="s">
        <v>591</v>
      </c>
      <c r="E47" s="119">
        <v>2849</v>
      </c>
      <c r="F47" s="118">
        <v>48</v>
      </c>
      <c r="G47" s="120">
        <v>39906</v>
      </c>
    </row>
    <row r="48" spans="1:7" x14ac:dyDescent="0.25">
      <c r="A48" s="118">
        <f>SUBTOTAL(3,$B$6:B48)</f>
        <v>43</v>
      </c>
      <c r="B48" s="118" t="s">
        <v>644</v>
      </c>
      <c r="C48" s="118" t="s">
        <v>645</v>
      </c>
      <c r="D48" s="118" t="s">
        <v>555</v>
      </c>
      <c r="E48" s="119">
        <v>2846</v>
      </c>
      <c r="F48" s="118">
        <v>33</v>
      </c>
      <c r="G48" s="120">
        <v>40275</v>
      </c>
    </row>
    <row r="49" spans="1:7" x14ac:dyDescent="0.25">
      <c r="A49" s="118">
        <f>SUBTOTAL(3,$B$6:B49)</f>
        <v>44</v>
      </c>
      <c r="B49" s="118" t="s">
        <v>646</v>
      </c>
      <c r="C49" s="118" t="s">
        <v>647</v>
      </c>
      <c r="D49" s="118" t="s">
        <v>586</v>
      </c>
      <c r="E49" s="119">
        <v>2843</v>
      </c>
      <c r="F49" s="118">
        <v>26</v>
      </c>
      <c r="G49" s="120">
        <v>43328</v>
      </c>
    </row>
    <row r="50" spans="1:7" x14ac:dyDescent="0.25">
      <c r="A50" s="118">
        <f>SUBTOTAL(3,$B$6:B50)</f>
        <v>45</v>
      </c>
      <c r="B50" s="118" t="s">
        <v>648</v>
      </c>
      <c r="C50" s="118" t="s">
        <v>649</v>
      </c>
      <c r="D50" s="118" t="s">
        <v>543</v>
      </c>
      <c r="E50" s="119">
        <v>2842</v>
      </c>
      <c r="F50" s="118">
        <v>36</v>
      </c>
      <c r="G50" s="120">
        <v>40625</v>
      </c>
    </row>
    <row r="51" spans="1:7" x14ac:dyDescent="0.25">
      <c r="A51" s="118">
        <f>SUBTOTAL(3,$B$6:B51)</f>
        <v>46</v>
      </c>
      <c r="B51" s="118" t="s">
        <v>650</v>
      </c>
      <c r="C51" s="118" t="s">
        <v>651</v>
      </c>
      <c r="D51" s="118" t="s">
        <v>549</v>
      </c>
      <c r="E51" s="119">
        <v>2842</v>
      </c>
      <c r="F51" s="118">
        <v>24</v>
      </c>
      <c r="G51" s="120">
        <v>43481</v>
      </c>
    </row>
    <row r="52" spans="1:7" x14ac:dyDescent="0.25">
      <c r="A52" s="118">
        <f>SUBTOTAL(3,$B$6:B52)</f>
        <v>47</v>
      </c>
      <c r="B52" s="118" t="s">
        <v>652</v>
      </c>
      <c r="C52" s="118" t="s">
        <v>653</v>
      </c>
      <c r="D52" s="118" t="s">
        <v>654</v>
      </c>
      <c r="E52" s="119">
        <v>2838</v>
      </c>
      <c r="F52" s="118">
        <v>44</v>
      </c>
      <c r="G52" s="120">
        <v>40186</v>
      </c>
    </row>
    <row r="53" spans="1:7" x14ac:dyDescent="0.25">
      <c r="A53" s="118">
        <f>SUBTOTAL(3,$B$6:B53)</f>
        <v>48</v>
      </c>
      <c r="B53" s="118" t="s">
        <v>655</v>
      </c>
      <c r="C53" s="118" t="s">
        <v>656</v>
      </c>
      <c r="D53" s="118" t="s">
        <v>636</v>
      </c>
      <c r="E53" s="119">
        <v>2834</v>
      </c>
      <c r="F53" s="118">
        <v>45</v>
      </c>
      <c r="G53" s="120">
        <v>40065</v>
      </c>
    </row>
    <row r="54" spans="1:7" x14ac:dyDescent="0.25">
      <c r="A54" s="118">
        <f>SUBTOTAL(3,$B$6:B54)</f>
        <v>49</v>
      </c>
      <c r="B54" s="118" t="s">
        <v>657</v>
      </c>
      <c r="C54" s="118" t="s">
        <v>658</v>
      </c>
      <c r="D54" s="118" t="s">
        <v>549</v>
      </c>
      <c r="E54" s="119">
        <v>2834</v>
      </c>
      <c r="F54" s="118">
        <v>28</v>
      </c>
      <c r="G54" s="120">
        <v>43237</v>
      </c>
    </row>
    <row r="55" spans="1:7" x14ac:dyDescent="0.25">
      <c r="A55" s="118">
        <f>SUBTOTAL(3,$B$6:B55)</f>
        <v>50</v>
      </c>
      <c r="B55" s="118" t="s">
        <v>659</v>
      </c>
      <c r="C55" s="118" t="s">
        <v>660</v>
      </c>
      <c r="D55" s="118" t="s">
        <v>661</v>
      </c>
      <c r="E55" s="119">
        <v>2828</v>
      </c>
      <c r="F55" s="118">
        <v>34</v>
      </c>
      <c r="G55" s="120">
        <v>40249</v>
      </c>
    </row>
    <row r="56" spans="1:7" x14ac:dyDescent="0.25">
      <c r="A56" s="118">
        <f>SUBTOTAL(3,$B$6:B56)</f>
        <v>51</v>
      </c>
      <c r="B56" s="118" t="s">
        <v>662</v>
      </c>
      <c r="C56" s="118" t="s">
        <v>663</v>
      </c>
      <c r="D56" s="118" t="s">
        <v>540</v>
      </c>
      <c r="E56" s="119">
        <v>2825</v>
      </c>
      <c r="F56" s="118">
        <v>51</v>
      </c>
      <c r="G56" s="120">
        <v>38891</v>
      </c>
    </row>
    <row r="57" spans="1:7" x14ac:dyDescent="0.25">
      <c r="A57" s="118">
        <f>SUBTOTAL(3,$B$6:B57)</f>
        <v>52</v>
      </c>
      <c r="B57" s="118" t="s">
        <v>664</v>
      </c>
      <c r="C57" s="118" t="s">
        <v>665</v>
      </c>
      <c r="D57" s="118" t="s">
        <v>543</v>
      </c>
      <c r="E57" s="119">
        <v>2823</v>
      </c>
      <c r="F57" s="118">
        <v>44</v>
      </c>
      <c r="G57" s="120">
        <v>40112</v>
      </c>
    </row>
    <row r="58" spans="1:7" x14ac:dyDescent="0.25">
      <c r="A58" s="118">
        <f>SUBTOTAL(3,$B$6:B58)</f>
        <v>53</v>
      </c>
      <c r="B58" s="118" t="s">
        <v>666</v>
      </c>
      <c r="C58" s="118" t="s">
        <v>667</v>
      </c>
      <c r="D58" s="118" t="s">
        <v>641</v>
      </c>
      <c r="E58" s="119">
        <v>2816</v>
      </c>
      <c r="F58" s="118">
        <v>47</v>
      </c>
      <c r="G58" s="120">
        <v>39959</v>
      </c>
    </row>
    <row r="59" spans="1:7" x14ac:dyDescent="0.25">
      <c r="A59" s="118">
        <f>SUBTOTAL(3,$B$6:B59)</f>
        <v>54</v>
      </c>
      <c r="B59" s="118" t="s">
        <v>668</v>
      </c>
      <c r="C59" s="118" t="s">
        <v>669</v>
      </c>
      <c r="D59" s="118" t="s">
        <v>561</v>
      </c>
      <c r="E59" s="119">
        <v>2815</v>
      </c>
      <c r="F59" s="118">
        <v>33</v>
      </c>
      <c r="G59" s="120">
        <v>40291</v>
      </c>
    </row>
    <row r="60" spans="1:7" x14ac:dyDescent="0.25">
      <c r="A60" s="118">
        <f>SUBTOTAL(3,$B$6:B60)</f>
        <v>55</v>
      </c>
      <c r="B60" s="118" t="s">
        <v>670</v>
      </c>
      <c r="C60" s="118" t="s">
        <v>671</v>
      </c>
      <c r="D60" s="118" t="s">
        <v>567</v>
      </c>
      <c r="E60" s="119">
        <v>2811</v>
      </c>
      <c r="F60" s="118">
        <v>42</v>
      </c>
      <c r="G60" s="120">
        <v>40315</v>
      </c>
    </row>
    <row r="61" spans="1:7" x14ac:dyDescent="0.25">
      <c r="A61" s="118">
        <f>SUBTOTAL(3,$B$6:B61)</f>
        <v>56</v>
      </c>
      <c r="B61" s="118" t="s">
        <v>672</v>
      </c>
      <c r="C61" s="118" t="s">
        <v>673</v>
      </c>
      <c r="D61" s="118" t="s">
        <v>591</v>
      </c>
      <c r="E61" s="119">
        <v>2806</v>
      </c>
      <c r="F61" s="118">
        <v>49</v>
      </c>
      <c r="G61" s="120">
        <v>39842</v>
      </c>
    </row>
    <row r="62" spans="1:7" x14ac:dyDescent="0.25">
      <c r="A62" s="118">
        <f>SUBTOTAL(3,$B$6:B62)</f>
        <v>57</v>
      </c>
      <c r="B62" s="118" t="s">
        <v>674</v>
      </c>
      <c r="C62" s="118" t="s">
        <v>675</v>
      </c>
      <c r="D62" s="118" t="s">
        <v>561</v>
      </c>
      <c r="E62" s="119">
        <v>2806</v>
      </c>
      <c r="F62" s="118">
        <v>48</v>
      </c>
      <c r="G62" s="120">
        <v>39955</v>
      </c>
    </row>
    <row r="63" spans="1:7" x14ac:dyDescent="0.25">
      <c r="A63" s="118">
        <f>SUBTOTAL(3,$B$6:B63)</f>
        <v>58</v>
      </c>
      <c r="B63" s="118" t="s">
        <v>676</v>
      </c>
      <c r="C63" s="118" t="s">
        <v>677</v>
      </c>
      <c r="D63" s="118" t="s">
        <v>636</v>
      </c>
      <c r="E63" s="119">
        <v>2804</v>
      </c>
      <c r="F63" s="118">
        <v>49</v>
      </c>
      <c r="G63" s="120">
        <v>39828</v>
      </c>
    </row>
    <row r="64" spans="1:7" x14ac:dyDescent="0.25">
      <c r="A64" s="118">
        <f>SUBTOTAL(3,$B$6:B64)</f>
        <v>59</v>
      </c>
      <c r="B64" s="118" t="s">
        <v>678</v>
      </c>
      <c r="C64" s="118" t="s">
        <v>679</v>
      </c>
      <c r="D64" s="118" t="s">
        <v>540</v>
      </c>
      <c r="E64" s="119">
        <v>2804</v>
      </c>
      <c r="F64" s="118">
        <v>44</v>
      </c>
      <c r="G64" s="120">
        <v>40127</v>
      </c>
    </row>
    <row r="65" spans="1:7" x14ac:dyDescent="0.25">
      <c r="A65" s="118">
        <f>SUBTOTAL(3,$B$6:B65)</f>
        <v>60</v>
      </c>
      <c r="B65" s="118" t="s">
        <v>680</v>
      </c>
      <c r="C65" s="118" t="s">
        <v>681</v>
      </c>
      <c r="D65" s="118" t="s">
        <v>682</v>
      </c>
      <c r="E65" s="119">
        <v>2803</v>
      </c>
      <c r="F65" s="118">
        <v>25</v>
      </c>
      <c r="G65" s="120">
        <v>43389</v>
      </c>
    </row>
    <row r="66" spans="1:7" x14ac:dyDescent="0.25">
      <c r="A66" s="118">
        <f>SUBTOTAL(3,$B$6:B66)</f>
        <v>61</v>
      </c>
      <c r="B66" s="118" t="s">
        <v>683</v>
      </c>
      <c r="C66" s="118" t="s">
        <v>684</v>
      </c>
      <c r="D66" s="118" t="s">
        <v>579</v>
      </c>
      <c r="E66" s="119">
        <v>2801</v>
      </c>
      <c r="F66" s="118">
        <v>23</v>
      </c>
      <c r="G66" s="120">
        <v>43508</v>
      </c>
    </row>
    <row r="67" spans="1:7" x14ac:dyDescent="0.25">
      <c r="A67" s="118">
        <f>SUBTOTAL(3,$B$6:B67)</f>
        <v>62</v>
      </c>
      <c r="B67" s="118" t="s">
        <v>685</v>
      </c>
      <c r="C67" s="118" t="s">
        <v>686</v>
      </c>
      <c r="D67" s="118" t="s">
        <v>552</v>
      </c>
      <c r="E67" s="119">
        <v>2791</v>
      </c>
      <c r="F67" s="118">
        <v>44</v>
      </c>
      <c r="G67" s="120">
        <v>40149</v>
      </c>
    </row>
    <row r="68" spans="1:7" x14ac:dyDescent="0.25">
      <c r="A68" s="118">
        <f>SUBTOTAL(3,$B$6:B68)</f>
        <v>63</v>
      </c>
      <c r="B68" s="118" t="s">
        <v>687</v>
      </c>
      <c r="C68" s="118" t="s">
        <v>688</v>
      </c>
      <c r="D68" s="118" t="s">
        <v>682</v>
      </c>
      <c r="E68" s="119">
        <v>2790</v>
      </c>
      <c r="F68" s="118">
        <v>40</v>
      </c>
      <c r="G68" s="120">
        <v>40393</v>
      </c>
    </row>
    <row r="69" spans="1:7" x14ac:dyDescent="0.25">
      <c r="A69" s="118">
        <f>SUBTOTAL(3,$B$6:B69)</f>
        <v>64</v>
      </c>
      <c r="B69" s="118" t="s">
        <v>689</v>
      </c>
      <c r="C69" s="118" t="s">
        <v>690</v>
      </c>
      <c r="D69" s="118" t="s">
        <v>561</v>
      </c>
      <c r="E69" s="119">
        <v>2790</v>
      </c>
      <c r="F69" s="118">
        <v>50</v>
      </c>
      <c r="G69" s="120">
        <v>38931</v>
      </c>
    </row>
    <row r="70" spans="1:7" x14ac:dyDescent="0.25">
      <c r="A70" s="118">
        <f>SUBTOTAL(3,$B$6:B70)</f>
        <v>65</v>
      </c>
      <c r="B70" s="118" t="s">
        <v>691</v>
      </c>
      <c r="C70" s="118" t="s">
        <v>692</v>
      </c>
      <c r="D70" s="118" t="s">
        <v>623</v>
      </c>
      <c r="E70" s="119">
        <v>2780</v>
      </c>
      <c r="F70" s="118">
        <v>49</v>
      </c>
      <c r="G70" s="120">
        <v>39864</v>
      </c>
    </row>
    <row r="71" spans="1:7" x14ac:dyDescent="0.25">
      <c r="A71" s="118">
        <f>SUBTOTAL(3,$B$6:B71)</f>
        <v>66</v>
      </c>
      <c r="B71" s="118" t="s">
        <v>693</v>
      </c>
      <c r="C71" s="118" t="s">
        <v>694</v>
      </c>
      <c r="D71" s="118" t="s">
        <v>695</v>
      </c>
      <c r="E71" s="119">
        <v>2770</v>
      </c>
      <c r="F71" s="118">
        <v>44</v>
      </c>
      <c r="G71" s="120">
        <v>40133</v>
      </c>
    </row>
    <row r="72" spans="1:7" x14ac:dyDescent="0.25">
      <c r="A72" s="118">
        <f>SUBTOTAL(3,$B$6:B72)</f>
        <v>67</v>
      </c>
      <c r="B72" s="118" t="s">
        <v>696</v>
      </c>
      <c r="C72" s="118" t="s">
        <v>697</v>
      </c>
      <c r="D72" s="118" t="s">
        <v>698</v>
      </c>
      <c r="E72" s="119">
        <v>2767</v>
      </c>
      <c r="F72" s="118">
        <v>40</v>
      </c>
      <c r="G72" s="120">
        <v>40410</v>
      </c>
    </row>
    <row r="73" spans="1:7" x14ac:dyDescent="0.25">
      <c r="A73" s="118">
        <f>SUBTOTAL(3,$B$6:B73)</f>
        <v>68</v>
      </c>
      <c r="B73" s="118" t="s">
        <v>699</v>
      </c>
      <c r="C73" s="118" t="s">
        <v>700</v>
      </c>
      <c r="D73" s="118" t="s">
        <v>561</v>
      </c>
      <c r="E73" s="119">
        <v>2761</v>
      </c>
      <c r="F73" s="118">
        <v>47</v>
      </c>
      <c r="G73" s="120">
        <v>39981</v>
      </c>
    </row>
    <row r="74" spans="1:7" x14ac:dyDescent="0.25">
      <c r="A74" s="118">
        <f>SUBTOTAL(3,$B$6:B74)</f>
        <v>69</v>
      </c>
      <c r="B74" s="118" t="s">
        <v>701</v>
      </c>
      <c r="C74" s="118" t="s">
        <v>702</v>
      </c>
      <c r="D74" s="118" t="s">
        <v>558</v>
      </c>
      <c r="E74" s="119">
        <v>2753</v>
      </c>
      <c r="F74" s="118">
        <v>28</v>
      </c>
      <c r="G74" s="120">
        <v>43250</v>
      </c>
    </row>
    <row r="75" spans="1:7" x14ac:dyDescent="0.25">
      <c r="A75" s="118">
        <f>SUBTOTAL(3,$B$6:B75)</f>
        <v>70</v>
      </c>
      <c r="B75" s="118" t="s">
        <v>703</v>
      </c>
      <c r="C75" s="118" t="s">
        <v>704</v>
      </c>
      <c r="D75" s="118" t="s">
        <v>623</v>
      </c>
      <c r="E75" s="119">
        <v>2750</v>
      </c>
      <c r="F75" s="118">
        <v>42</v>
      </c>
      <c r="G75" s="120">
        <v>40289</v>
      </c>
    </row>
    <row r="76" spans="1:7" x14ac:dyDescent="0.25">
      <c r="A76" s="118">
        <f>SUBTOTAL(3,$B$6:B76)</f>
        <v>71</v>
      </c>
      <c r="B76" s="118" t="s">
        <v>705</v>
      </c>
      <c r="C76" s="118" t="s">
        <v>706</v>
      </c>
      <c r="D76" s="118" t="s">
        <v>561</v>
      </c>
      <c r="E76" s="119">
        <v>2750</v>
      </c>
      <c r="F76" s="118">
        <v>33</v>
      </c>
      <c r="G76" s="120">
        <v>40323</v>
      </c>
    </row>
    <row r="77" spans="1:7" x14ac:dyDescent="0.25">
      <c r="A77" s="118">
        <f>SUBTOTAL(3,$B$6:B77)</f>
        <v>72</v>
      </c>
      <c r="B77" s="118" t="s">
        <v>707</v>
      </c>
      <c r="C77" s="118" t="s">
        <v>708</v>
      </c>
      <c r="D77" s="118" t="s">
        <v>564</v>
      </c>
      <c r="E77" s="119">
        <v>2747</v>
      </c>
      <c r="F77" s="118">
        <v>23</v>
      </c>
      <c r="G77" s="120">
        <v>43542</v>
      </c>
    </row>
    <row r="78" spans="1:7" x14ac:dyDescent="0.25">
      <c r="A78" s="118">
        <f>SUBTOTAL(3,$B$6:B78)</f>
        <v>73</v>
      </c>
      <c r="B78" s="118" t="s">
        <v>709</v>
      </c>
      <c r="C78" s="118" t="s">
        <v>710</v>
      </c>
      <c r="D78" s="118" t="s">
        <v>711</v>
      </c>
      <c r="E78" s="119">
        <v>2742</v>
      </c>
      <c r="F78" s="118">
        <v>37</v>
      </c>
      <c r="G78" s="120">
        <v>40571</v>
      </c>
    </row>
    <row r="79" spans="1:7" x14ac:dyDescent="0.25">
      <c r="A79" s="118">
        <f>SUBTOTAL(3,$B$6:B79)</f>
        <v>74</v>
      </c>
      <c r="B79" s="118" t="s">
        <v>712</v>
      </c>
      <c r="C79" s="118" t="s">
        <v>713</v>
      </c>
      <c r="D79" s="118" t="s">
        <v>558</v>
      </c>
      <c r="E79" s="119">
        <v>2741</v>
      </c>
      <c r="F79" s="118">
        <v>36</v>
      </c>
      <c r="G79" s="120">
        <v>40669</v>
      </c>
    </row>
    <row r="80" spans="1:7" x14ac:dyDescent="0.25">
      <c r="A80" s="118">
        <f>SUBTOTAL(3,$B$6:B80)</f>
        <v>75</v>
      </c>
      <c r="B80" s="118" t="s">
        <v>714</v>
      </c>
      <c r="C80" s="118" t="s">
        <v>715</v>
      </c>
      <c r="D80" s="118" t="s">
        <v>564</v>
      </c>
      <c r="E80" s="119">
        <v>2738</v>
      </c>
      <c r="F80" s="118">
        <v>24</v>
      </c>
      <c r="G80" s="120">
        <v>43489</v>
      </c>
    </row>
    <row r="81" spans="1:7" x14ac:dyDescent="0.25">
      <c r="A81" s="118">
        <f>SUBTOTAL(3,$B$6:B81)</f>
        <v>76</v>
      </c>
      <c r="B81" s="118" t="s">
        <v>716</v>
      </c>
      <c r="C81" s="118" t="s">
        <v>717</v>
      </c>
      <c r="D81" s="118" t="s">
        <v>711</v>
      </c>
      <c r="E81" s="119">
        <v>2736</v>
      </c>
      <c r="F81" s="118">
        <v>41</v>
      </c>
      <c r="G81" s="120">
        <v>40326</v>
      </c>
    </row>
    <row r="82" spans="1:7" x14ac:dyDescent="0.25">
      <c r="A82" s="118">
        <f>SUBTOTAL(3,$B$6:B82)</f>
        <v>77</v>
      </c>
      <c r="B82" s="118" t="s">
        <v>718</v>
      </c>
      <c r="C82" s="118" t="s">
        <v>719</v>
      </c>
      <c r="D82" s="118" t="s">
        <v>558</v>
      </c>
      <c r="E82" s="119">
        <v>2727</v>
      </c>
      <c r="F82" s="118">
        <v>36</v>
      </c>
      <c r="G82" s="120">
        <v>40672</v>
      </c>
    </row>
    <row r="83" spans="1:7" x14ac:dyDescent="0.25">
      <c r="A83" s="118">
        <f>SUBTOTAL(3,$B$6:B83)</f>
        <v>78</v>
      </c>
      <c r="B83" s="118" t="s">
        <v>720</v>
      </c>
      <c r="C83" s="118" t="s">
        <v>721</v>
      </c>
      <c r="D83" s="118" t="s">
        <v>546</v>
      </c>
      <c r="E83" s="119">
        <v>2710</v>
      </c>
      <c r="F83" s="118">
        <v>41</v>
      </c>
      <c r="G83" s="120">
        <v>40319</v>
      </c>
    </row>
    <row r="84" spans="1:7" x14ac:dyDescent="0.25">
      <c r="A84" s="118">
        <f>SUBTOTAL(3,$B$6:B84)</f>
        <v>79</v>
      </c>
      <c r="B84" s="118" t="s">
        <v>722</v>
      </c>
      <c r="C84" s="118" t="s">
        <v>723</v>
      </c>
      <c r="D84" s="118" t="s">
        <v>609</v>
      </c>
      <c r="E84" s="119">
        <v>2703</v>
      </c>
      <c r="F84" s="118">
        <v>50</v>
      </c>
      <c r="G84" s="120">
        <v>38929</v>
      </c>
    </row>
    <row r="85" spans="1:7" x14ac:dyDescent="0.25">
      <c r="A85" s="118">
        <f>SUBTOTAL(3,$B$6:B85)</f>
        <v>80</v>
      </c>
      <c r="B85" s="118" t="s">
        <v>724</v>
      </c>
      <c r="C85" s="118" t="s">
        <v>725</v>
      </c>
      <c r="D85" s="118" t="s">
        <v>661</v>
      </c>
      <c r="E85" s="119">
        <v>2700</v>
      </c>
      <c r="F85" s="118">
        <v>35</v>
      </c>
      <c r="G85" s="120">
        <v>40192</v>
      </c>
    </row>
    <row r="86" spans="1:7" x14ac:dyDescent="0.25">
      <c r="A86" s="118">
        <f>SUBTOTAL(3,$B$6:B86)</f>
        <v>81</v>
      </c>
      <c r="B86" s="118" t="s">
        <v>726</v>
      </c>
      <c r="C86" s="118" t="s">
        <v>727</v>
      </c>
      <c r="D86" s="118" t="s">
        <v>641</v>
      </c>
      <c r="E86" s="119">
        <v>2688</v>
      </c>
      <c r="F86" s="118">
        <v>33</v>
      </c>
      <c r="G86" s="120">
        <v>40280</v>
      </c>
    </row>
    <row r="87" spans="1:7" x14ac:dyDescent="0.25">
      <c r="A87" s="118">
        <f>SUBTOTAL(3,$B$6:B87)</f>
        <v>82</v>
      </c>
      <c r="B87" s="118" t="s">
        <v>728</v>
      </c>
      <c r="C87" s="118" t="s">
        <v>729</v>
      </c>
      <c r="D87" s="118" t="s">
        <v>561</v>
      </c>
      <c r="E87" s="119">
        <v>2684</v>
      </c>
      <c r="F87" s="118">
        <v>32</v>
      </c>
      <c r="G87" s="120">
        <v>40350</v>
      </c>
    </row>
    <row r="88" spans="1:7" x14ac:dyDescent="0.25">
      <c r="A88" s="118">
        <f>SUBTOTAL(3,$B$6:B88)</f>
        <v>83</v>
      </c>
      <c r="B88" s="118" t="s">
        <v>730</v>
      </c>
      <c r="C88" s="118" t="s">
        <v>731</v>
      </c>
      <c r="D88" s="118" t="s">
        <v>636</v>
      </c>
      <c r="E88" s="119">
        <v>2672</v>
      </c>
      <c r="F88" s="118">
        <v>21</v>
      </c>
      <c r="G88" s="120">
        <v>43627</v>
      </c>
    </row>
    <row r="89" spans="1:7" x14ac:dyDescent="0.25">
      <c r="A89" s="118">
        <f>SUBTOTAL(3,$B$6:B89)</f>
        <v>84</v>
      </c>
      <c r="B89" s="118" t="s">
        <v>732</v>
      </c>
      <c r="C89" s="118" t="s">
        <v>733</v>
      </c>
      <c r="D89" s="118" t="s">
        <v>734</v>
      </c>
      <c r="E89" s="119">
        <v>2671</v>
      </c>
      <c r="F89" s="118">
        <v>34</v>
      </c>
      <c r="G89" s="120">
        <v>40254</v>
      </c>
    </row>
    <row r="90" spans="1:7" x14ac:dyDescent="0.25">
      <c r="A90" s="118">
        <f>SUBTOTAL(3,$B$6:B90)</f>
        <v>85</v>
      </c>
      <c r="B90" s="118" t="s">
        <v>735</v>
      </c>
      <c r="C90" s="118" t="s">
        <v>736</v>
      </c>
      <c r="D90" s="118" t="s">
        <v>561</v>
      </c>
      <c r="E90" s="119">
        <v>2670</v>
      </c>
      <c r="F90" s="118">
        <v>50</v>
      </c>
      <c r="G90" s="120">
        <v>38939</v>
      </c>
    </row>
    <row r="91" spans="1:7" x14ac:dyDescent="0.25">
      <c r="A91" s="118">
        <f>SUBTOTAL(3,$B$6:B91)</f>
        <v>86</v>
      </c>
      <c r="B91" s="118" t="s">
        <v>737</v>
      </c>
      <c r="C91" s="118" t="s">
        <v>738</v>
      </c>
      <c r="D91" s="118" t="s">
        <v>540</v>
      </c>
      <c r="E91" s="119">
        <v>2664</v>
      </c>
      <c r="F91" s="118">
        <v>27</v>
      </c>
      <c r="G91" s="120">
        <v>43269</v>
      </c>
    </row>
    <row r="92" spans="1:7" x14ac:dyDescent="0.25">
      <c r="A92" s="118">
        <f>SUBTOTAL(3,$B$6:B92)</f>
        <v>87</v>
      </c>
      <c r="B92" s="118" t="s">
        <v>739</v>
      </c>
      <c r="C92" s="118" t="s">
        <v>740</v>
      </c>
      <c r="D92" s="118" t="s">
        <v>558</v>
      </c>
      <c r="E92" s="119">
        <v>2664</v>
      </c>
      <c r="F92" s="118">
        <v>43</v>
      </c>
      <c r="G92" s="120">
        <v>40252</v>
      </c>
    </row>
    <row r="93" spans="1:7" x14ac:dyDescent="0.25">
      <c r="A93" s="118">
        <f>SUBTOTAL(3,$B$6:B93)</f>
        <v>88</v>
      </c>
      <c r="B93" s="118" t="s">
        <v>741</v>
      </c>
      <c r="C93" s="118" t="s">
        <v>742</v>
      </c>
      <c r="D93" s="118" t="s">
        <v>564</v>
      </c>
      <c r="E93" s="119">
        <v>2638</v>
      </c>
      <c r="F93" s="118">
        <v>41</v>
      </c>
      <c r="G93" s="120">
        <v>40367</v>
      </c>
    </row>
    <row r="94" spans="1:7" x14ac:dyDescent="0.25">
      <c r="A94" s="118">
        <f>SUBTOTAL(3,$B$6:B94)</f>
        <v>89</v>
      </c>
      <c r="B94" s="118" t="s">
        <v>743</v>
      </c>
      <c r="C94" s="118" t="s">
        <v>744</v>
      </c>
      <c r="D94" s="118" t="s">
        <v>564</v>
      </c>
      <c r="E94" s="119">
        <v>2637</v>
      </c>
      <c r="F94" s="118">
        <v>50</v>
      </c>
      <c r="G94" s="120">
        <v>39815</v>
      </c>
    </row>
    <row r="95" spans="1:7" x14ac:dyDescent="0.25">
      <c r="A95" s="118">
        <f>SUBTOTAL(3,$B$6:B95)</f>
        <v>90</v>
      </c>
      <c r="B95" s="118" t="s">
        <v>745</v>
      </c>
      <c r="C95" s="118" t="s">
        <v>746</v>
      </c>
      <c r="D95" s="118" t="s">
        <v>549</v>
      </c>
      <c r="E95" s="119">
        <v>2633</v>
      </c>
      <c r="F95" s="118">
        <v>45</v>
      </c>
      <c r="G95" s="120">
        <v>40073</v>
      </c>
    </row>
    <row r="96" spans="1:7" x14ac:dyDescent="0.25">
      <c r="A96" s="118">
        <f>SUBTOTAL(3,$B$6:B96)</f>
        <v>91</v>
      </c>
      <c r="B96" s="118" t="s">
        <v>747</v>
      </c>
      <c r="C96" s="118" t="s">
        <v>748</v>
      </c>
      <c r="D96" s="118" t="s">
        <v>558</v>
      </c>
      <c r="E96" s="119">
        <v>2633</v>
      </c>
      <c r="F96" s="118">
        <v>28</v>
      </c>
      <c r="G96" s="120">
        <v>43252</v>
      </c>
    </row>
    <row r="97" spans="1:7" x14ac:dyDescent="0.25">
      <c r="A97" s="118">
        <f>SUBTOTAL(3,$B$6:B97)</f>
        <v>92</v>
      </c>
      <c r="B97" s="118" t="s">
        <v>749</v>
      </c>
      <c r="C97" s="118" t="s">
        <v>750</v>
      </c>
      <c r="D97" s="118" t="s">
        <v>661</v>
      </c>
      <c r="E97" s="119">
        <v>2631</v>
      </c>
      <c r="F97" s="118">
        <v>40</v>
      </c>
      <c r="G97" s="120">
        <v>40401</v>
      </c>
    </row>
    <row r="98" spans="1:7" x14ac:dyDescent="0.25">
      <c r="A98" s="118">
        <f>SUBTOTAL(3,$B$6:B98)</f>
        <v>93</v>
      </c>
      <c r="B98" s="118" t="s">
        <v>751</v>
      </c>
      <c r="C98" s="118" t="s">
        <v>752</v>
      </c>
      <c r="D98" s="118" t="s">
        <v>540</v>
      </c>
      <c r="E98" s="119">
        <v>2630</v>
      </c>
      <c r="F98" s="118">
        <v>26</v>
      </c>
      <c r="G98" s="120">
        <v>43325</v>
      </c>
    </row>
    <row r="99" spans="1:7" x14ac:dyDescent="0.25">
      <c r="A99" s="118">
        <f>SUBTOTAL(3,$B$6:B99)</f>
        <v>94</v>
      </c>
      <c r="B99" s="118" t="s">
        <v>753</v>
      </c>
      <c r="C99" s="118" t="s">
        <v>754</v>
      </c>
      <c r="D99" s="118" t="s">
        <v>558</v>
      </c>
      <c r="E99" s="119">
        <v>2629</v>
      </c>
      <c r="F99" s="118">
        <v>43</v>
      </c>
      <c r="G99" s="120">
        <v>40249</v>
      </c>
    </row>
    <row r="100" spans="1:7" x14ac:dyDescent="0.25">
      <c r="A100" s="118">
        <f>SUBTOTAL(3,$B$6:B100)</f>
        <v>95</v>
      </c>
      <c r="B100" s="118" t="s">
        <v>755</v>
      </c>
      <c r="C100" s="118" t="s">
        <v>756</v>
      </c>
      <c r="D100" s="118" t="s">
        <v>698</v>
      </c>
      <c r="E100" s="119">
        <v>2624</v>
      </c>
      <c r="F100" s="118">
        <v>46</v>
      </c>
      <c r="G100" s="120">
        <v>40045</v>
      </c>
    </row>
    <row r="101" spans="1:7" x14ac:dyDescent="0.25">
      <c r="A101" s="118">
        <f>SUBTOTAL(3,$B$6:B101)</f>
        <v>96</v>
      </c>
      <c r="B101" s="118" t="s">
        <v>757</v>
      </c>
      <c r="C101" s="118" t="s">
        <v>758</v>
      </c>
      <c r="D101" s="118" t="s">
        <v>543</v>
      </c>
      <c r="E101" s="119">
        <v>2622</v>
      </c>
      <c r="F101" s="118">
        <v>28</v>
      </c>
      <c r="G101" s="120">
        <v>43194</v>
      </c>
    </row>
    <row r="102" spans="1:7" x14ac:dyDescent="0.25">
      <c r="A102" s="118">
        <f>SUBTOTAL(3,$B$6:B102)</f>
        <v>97</v>
      </c>
      <c r="B102" s="118" t="s">
        <v>759</v>
      </c>
      <c r="C102" s="118" t="s">
        <v>760</v>
      </c>
      <c r="D102" s="118" t="s">
        <v>564</v>
      </c>
      <c r="E102" s="119">
        <v>2616</v>
      </c>
      <c r="F102" s="118">
        <v>47</v>
      </c>
      <c r="G102" s="120">
        <v>39962</v>
      </c>
    </row>
    <row r="103" spans="1:7" x14ac:dyDescent="0.25">
      <c r="A103" s="118">
        <f>SUBTOTAL(3,$B$6:B103)</f>
        <v>98</v>
      </c>
      <c r="B103" s="118" t="s">
        <v>761</v>
      </c>
      <c r="C103" s="118" t="s">
        <v>762</v>
      </c>
      <c r="D103" s="118" t="s">
        <v>682</v>
      </c>
      <c r="E103" s="119">
        <v>2612</v>
      </c>
      <c r="F103" s="118">
        <v>39</v>
      </c>
      <c r="G103" s="120">
        <v>40472</v>
      </c>
    </row>
    <row r="104" spans="1:7" x14ac:dyDescent="0.25">
      <c r="A104" s="118">
        <f>SUBTOTAL(3,$B$6:B104)</f>
        <v>99</v>
      </c>
      <c r="B104" s="118" t="s">
        <v>763</v>
      </c>
      <c r="C104" s="118" t="s">
        <v>764</v>
      </c>
      <c r="D104" s="118" t="s">
        <v>561</v>
      </c>
      <c r="E104" s="119">
        <v>2611</v>
      </c>
      <c r="F104" s="118">
        <v>38</v>
      </c>
      <c r="G104" s="120">
        <v>40550</v>
      </c>
    </row>
    <row r="105" spans="1:7" x14ac:dyDescent="0.25">
      <c r="A105" s="118">
        <f>SUBTOTAL(3,$B$6:B105)</f>
        <v>100</v>
      </c>
      <c r="B105" s="118" t="s">
        <v>765</v>
      </c>
      <c r="C105" s="118" t="s">
        <v>766</v>
      </c>
      <c r="D105" s="118" t="s">
        <v>561</v>
      </c>
      <c r="E105" s="119">
        <v>2609</v>
      </c>
      <c r="F105" s="118">
        <v>40</v>
      </c>
      <c r="G105" s="120">
        <v>40375</v>
      </c>
    </row>
    <row r="106" spans="1:7" x14ac:dyDescent="0.25">
      <c r="A106" s="118">
        <f>SUBTOTAL(3,$B$6:B106)</f>
        <v>101</v>
      </c>
      <c r="B106" s="118" t="s">
        <v>767</v>
      </c>
      <c r="C106" s="118" t="s">
        <v>768</v>
      </c>
      <c r="D106" s="118" t="s">
        <v>546</v>
      </c>
      <c r="E106" s="119">
        <v>2608</v>
      </c>
      <c r="F106" s="118">
        <v>38</v>
      </c>
      <c r="G106" s="120">
        <v>40515</v>
      </c>
    </row>
    <row r="107" spans="1:7" x14ac:dyDescent="0.25">
      <c r="A107" s="118">
        <f>SUBTOTAL(3,$B$6:B107)</f>
        <v>102</v>
      </c>
      <c r="B107" s="118" t="s">
        <v>769</v>
      </c>
      <c r="C107" s="118" t="s">
        <v>770</v>
      </c>
      <c r="D107" s="118" t="s">
        <v>564</v>
      </c>
      <c r="E107" s="119">
        <v>2608</v>
      </c>
      <c r="F107" s="118">
        <v>25</v>
      </c>
      <c r="G107" s="120">
        <v>43395</v>
      </c>
    </row>
    <row r="108" spans="1:7" x14ac:dyDescent="0.25">
      <c r="A108" s="118">
        <f>SUBTOTAL(3,$B$6:B108)</f>
        <v>103</v>
      </c>
      <c r="B108" s="118" t="s">
        <v>771</v>
      </c>
      <c r="C108" s="118" t="s">
        <v>772</v>
      </c>
      <c r="D108" s="118" t="s">
        <v>572</v>
      </c>
      <c r="E108" s="119">
        <v>2606</v>
      </c>
      <c r="F108" s="118">
        <v>47</v>
      </c>
      <c r="G108" s="120">
        <v>39960</v>
      </c>
    </row>
    <row r="109" spans="1:7" x14ac:dyDescent="0.25">
      <c r="A109" s="118">
        <f>SUBTOTAL(3,$B$6:B109)</f>
        <v>104</v>
      </c>
      <c r="B109" s="118" t="s">
        <v>773</v>
      </c>
      <c r="C109" s="118" t="s">
        <v>774</v>
      </c>
      <c r="D109" s="118" t="s">
        <v>682</v>
      </c>
      <c r="E109" s="119">
        <v>2606</v>
      </c>
      <c r="F109" s="118">
        <v>31</v>
      </c>
      <c r="G109" s="120">
        <v>40420</v>
      </c>
    </row>
    <row r="110" spans="1:7" x14ac:dyDescent="0.25">
      <c r="A110" s="118">
        <f>SUBTOTAL(3,$B$6:B110)</f>
        <v>105</v>
      </c>
      <c r="B110" s="118" t="s">
        <v>775</v>
      </c>
      <c r="C110" s="118" t="s">
        <v>776</v>
      </c>
      <c r="D110" s="118" t="s">
        <v>561</v>
      </c>
      <c r="E110" s="119">
        <v>2606</v>
      </c>
      <c r="F110" s="118">
        <v>26</v>
      </c>
      <c r="G110" s="120">
        <v>43354</v>
      </c>
    </row>
    <row r="111" spans="1:7" x14ac:dyDescent="0.25">
      <c r="A111" s="118">
        <f>SUBTOTAL(3,$B$6:B111)</f>
        <v>106</v>
      </c>
      <c r="B111" s="118" t="s">
        <v>777</v>
      </c>
      <c r="C111" s="118" t="s">
        <v>778</v>
      </c>
      <c r="D111" s="118" t="s">
        <v>540</v>
      </c>
      <c r="E111" s="119">
        <v>2596</v>
      </c>
      <c r="F111" s="118">
        <v>31</v>
      </c>
      <c r="G111" s="120">
        <v>40401</v>
      </c>
    </row>
    <row r="112" spans="1:7" x14ac:dyDescent="0.25">
      <c r="A112" s="118">
        <f>SUBTOTAL(3,$B$6:B112)</f>
        <v>107</v>
      </c>
      <c r="B112" s="118" t="s">
        <v>779</v>
      </c>
      <c r="C112" s="118" t="s">
        <v>780</v>
      </c>
      <c r="D112" s="118" t="s">
        <v>586</v>
      </c>
      <c r="E112" s="119">
        <v>2596</v>
      </c>
      <c r="F112" s="118">
        <v>48</v>
      </c>
      <c r="G112" s="120">
        <v>39918</v>
      </c>
    </row>
    <row r="113" spans="1:7" x14ac:dyDescent="0.25">
      <c r="A113" s="118">
        <f>SUBTOTAL(3,$B$6:B113)</f>
        <v>108</v>
      </c>
      <c r="B113" s="118" t="s">
        <v>781</v>
      </c>
      <c r="C113" s="118" t="s">
        <v>782</v>
      </c>
      <c r="D113" s="118" t="s">
        <v>561</v>
      </c>
      <c r="E113" s="119">
        <v>2596</v>
      </c>
      <c r="F113" s="118">
        <v>33</v>
      </c>
      <c r="G113" s="120">
        <v>40319</v>
      </c>
    </row>
    <row r="114" spans="1:7" x14ac:dyDescent="0.25">
      <c r="A114" s="118">
        <f>SUBTOTAL(3,$B$6:B114)</f>
        <v>109</v>
      </c>
      <c r="B114" s="118" t="s">
        <v>783</v>
      </c>
      <c r="C114" s="118" t="s">
        <v>784</v>
      </c>
      <c r="D114" s="118" t="s">
        <v>661</v>
      </c>
      <c r="E114" s="119">
        <v>2587</v>
      </c>
      <c r="F114" s="118">
        <v>23</v>
      </c>
      <c r="G114" s="120">
        <v>43523</v>
      </c>
    </row>
    <row r="115" spans="1:7" x14ac:dyDescent="0.25">
      <c r="A115" s="118">
        <f>SUBTOTAL(3,$B$6:B115)</f>
        <v>110</v>
      </c>
      <c r="B115" s="118" t="s">
        <v>785</v>
      </c>
      <c r="C115" s="118" t="s">
        <v>786</v>
      </c>
      <c r="D115" s="118" t="s">
        <v>561</v>
      </c>
      <c r="E115" s="119">
        <v>2587</v>
      </c>
      <c r="F115" s="118">
        <v>33</v>
      </c>
      <c r="G115" s="120">
        <v>40322</v>
      </c>
    </row>
    <row r="116" spans="1:7" x14ac:dyDescent="0.25">
      <c r="A116" s="118">
        <f>SUBTOTAL(3,$B$6:B116)</f>
        <v>111</v>
      </c>
      <c r="B116" s="118" t="s">
        <v>787</v>
      </c>
      <c r="C116" s="118" t="s">
        <v>788</v>
      </c>
      <c r="D116" s="118" t="s">
        <v>600</v>
      </c>
      <c r="E116" s="119">
        <v>2583</v>
      </c>
      <c r="F116" s="118">
        <v>50</v>
      </c>
      <c r="G116" s="120">
        <v>38911</v>
      </c>
    </row>
    <row r="117" spans="1:7" x14ac:dyDescent="0.25">
      <c r="A117" s="118">
        <f>SUBTOTAL(3,$B$6:B117)</f>
        <v>112</v>
      </c>
      <c r="B117" s="118" t="s">
        <v>789</v>
      </c>
      <c r="C117" s="118" t="s">
        <v>790</v>
      </c>
      <c r="D117" s="118" t="s">
        <v>597</v>
      </c>
      <c r="E117" s="119">
        <v>2583</v>
      </c>
      <c r="F117" s="118">
        <v>40</v>
      </c>
      <c r="G117" s="120">
        <v>40381</v>
      </c>
    </row>
    <row r="118" spans="1:7" x14ac:dyDescent="0.25">
      <c r="A118" s="118">
        <f>SUBTOTAL(3,$B$6:B118)</f>
        <v>113</v>
      </c>
      <c r="B118" s="118" t="s">
        <v>791</v>
      </c>
      <c r="C118" s="118" t="s">
        <v>792</v>
      </c>
      <c r="D118" s="118" t="s">
        <v>561</v>
      </c>
      <c r="E118" s="119">
        <v>2583</v>
      </c>
      <c r="F118" s="118">
        <v>36</v>
      </c>
      <c r="G118" s="120">
        <v>40667</v>
      </c>
    </row>
    <row r="119" spans="1:7" x14ac:dyDescent="0.25">
      <c r="A119" s="118">
        <f>SUBTOTAL(3,$B$6:B119)</f>
        <v>114</v>
      </c>
      <c r="B119" s="118" t="s">
        <v>793</v>
      </c>
      <c r="C119" s="118" t="s">
        <v>794</v>
      </c>
      <c r="D119" s="118" t="s">
        <v>564</v>
      </c>
      <c r="E119" s="119">
        <v>2581</v>
      </c>
      <c r="F119" s="118">
        <v>49</v>
      </c>
      <c r="G119" s="120">
        <v>38489</v>
      </c>
    </row>
    <row r="120" spans="1:7" x14ac:dyDescent="0.25">
      <c r="A120" s="118">
        <f>SUBTOTAL(3,$B$6:B120)</f>
        <v>115</v>
      </c>
      <c r="B120" s="118" t="s">
        <v>795</v>
      </c>
      <c r="C120" s="118" t="s">
        <v>796</v>
      </c>
      <c r="D120" s="118" t="s">
        <v>609</v>
      </c>
      <c r="E120" s="119">
        <v>2579</v>
      </c>
      <c r="F120" s="118">
        <v>40</v>
      </c>
      <c r="G120" s="120">
        <v>40387</v>
      </c>
    </row>
    <row r="121" spans="1:7" x14ac:dyDescent="0.25">
      <c r="A121" s="118">
        <f>SUBTOTAL(3,$B$6:B121)</f>
        <v>116</v>
      </c>
      <c r="B121" s="118" t="s">
        <v>797</v>
      </c>
      <c r="C121" s="118" t="s">
        <v>798</v>
      </c>
      <c r="D121" s="118" t="s">
        <v>564</v>
      </c>
      <c r="E121" s="119">
        <v>2570</v>
      </c>
      <c r="F121" s="118">
        <v>31</v>
      </c>
      <c r="G121" s="120">
        <v>40415</v>
      </c>
    </row>
    <row r="122" spans="1:7" x14ac:dyDescent="0.25">
      <c r="A122" s="118">
        <f>SUBTOTAL(3,$B$6:B122)</f>
        <v>117</v>
      </c>
      <c r="B122" s="118" t="s">
        <v>799</v>
      </c>
      <c r="C122" s="118" t="s">
        <v>800</v>
      </c>
      <c r="D122" s="118" t="s">
        <v>549</v>
      </c>
      <c r="E122" s="119">
        <v>2564</v>
      </c>
      <c r="F122" s="118">
        <v>41</v>
      </c>
      <c r="G122" s="120">
        <v>40333</v>
      </c>
    </row>
    <row r="123" spans="1:7" x14ac:dyDescent="0.25">
      <c r="A123" s="118">
        <f>SUBTOTAL(3,$B$6:B123)</f>
        <v>118</v>
      </c>
      <c r="B123" s="118" t="s">
        <v>801</v>
      </c>
      <c r="C123" s="118" t="s">
        <v>802</v>
      </c>
      <c r="D123" s="118" t="s">
        <v>564</v>
      </c>
      <c r="E123" s="119">
        <v>2564</v>
      </c>
      <c r="F123" s="118">
        <v>25</v>
      </c>
      <c r="G123" s="120">
        <v>43409</v>
      </c>
    </row>
    <row r="124" spans="1:7" x14ac:dyDescent="0.25">
      <c r="A124" s="118">
        <f>SUBTOTAL(3,$B$6:B124)</f>
        <v>119</v>
      </c>
      <c r="B124" s="118" t="s">
        <v>803</v>
      </c>
      <c r="C124" s="118" t="s">
        <v>804</v>
      </c>
      <c r="D124" s="118" t="s">
        <v>549</v>
      </c>
      <c r="E124" s="119">
        <v>2562</v>
      </c>
      <c r="F124" s="118">
        <v>49</v>
      </c>
      <c r="G124" s="120">
        <v>39836</v>
      </c>
    </row>
    <row r="125" spans="1:7" x14ac:dyDescent="0.25">
      <c r="A125" s="118">
        <f>SUBTOTAL(3,$B$6:B125)</f>
        <v>120</v>
      </c>
      <c r="B125" s="118" t="s">
        <v>805</v>
      </c>
      <c r="C125" s="118" t="s">
        <v>806</v>
      </c>
      <c r="D125" s="118" t="s">
        <v>549</v>
      </c>
      <c r="E125" s="119">
        <v>2558</v>
      </c>
      <c r="F125" s="118">
        <v>36</v>
      </c>
      <c r="G125" s="120">
        <v>40661</v>
      </c>
    </row>
    <row r="126" spans="1:7" x14ac:dyDescent="0.25">
      <c r="A126" s="118">
        <f>SUBTOTAL(3,$B$6:B126)</f>
        <v>121</v>
      </c>
      <c r="B126" s="118" t="s">
        <v>807</v>
      </c>
      <c r="C126" s="118" t="s">
        <v>808</v>
      </c>
      <c r="D126" s="118" t="s">
        <v>561</v>
      </c>
      <c r="E126" s="119">
        <v>2552</v>
      </c>
      <c r="F126" s="118">
        <v>40</v>
      </c>
      <c r="G126" s="120">
        <v>40429</v>
      </c>
    </row>
    <row r="127" spans="1:7" x14ac:dyDescent="0.25">
      <c r="A127" s="118">
        <f>SUBTOTAL(3,$B$6:B127)</f>
        <v>122</v>
      </c>
      <c r="B127" s="118" t="s">
        <v>809</v>
      </c>
      <c r="C127" s="118" t="s">
        <v>810</v>
      </c>
      <c r="D127" s="118" t="s">
        <v>540</v>
      </c>
      <c r="E127" s="119">
        <v>2550</v>
      </c>
      <c r="F127" s="118">
        <v>49</v>
      </c>
      <c r="G127" s="120">
        <v>39870</v>
      </c>
    </row>
    <row r="128" spans="1:7" x14ac:dyDescent="0.25">
      <c r="A128" s="118">
        <f>SUBTOTAL(3,$B$6:B128)</f>
        <v>123</v>
      </c>
      <c r="B128" s="118" t="s">
        <v>811</v>
      </c>
      <c r="C128" s="118" t="s">
        <v>812</v>
      </c>
      <c r="D128" s="118" t="s">
        <v>561</v>
      </c>
      <c r="E128" s="119">
        <v>2544</v>
      </c>
      <c r="F128" s="118">
        <v>38</v>
      </c>
      <c r="G128" s="120">
        <v>40553</v>
      </c>
    </row>
    <row r="129" spans="1:7" x14ac:dyDescent="0.25">
      <c r="A129" s="118">
        <f>SUBTOTAL(3,$B$6:B129)</f>
        <v>124</v>
      </c>
      <c r="B129" s="118" t="s">
        <v>813</v>
      </c>
      <c r="C129" s="118" t="s">
        <v>814</v>
      </c>
      <c r="D129" s="118" t="s">
        <v>711</v>
      </c>
      <c r="E129" s="119">
        <v>2542</v>
      </c>
      <c r="F129" s="118">
        <v>46</v>
      </c>
      <c r="G129" s="120">
        <v>40024</v>
      </c>
    </row>
    <row r="130" spans="1:7" x14ac:dyDescent="0.25">
      <c r="A130" s="118">
        <f>SUBTOTAL(3,$B$6:B130)</f>
        <v>125</v>
      </c>
      <c r="B130" s="118" t="s">
        <v>815</v>
      </c>
      <c r="C130" s="118" t="s">
        <v>816</v>
      </c>
      <c r="D130" s="118" t="s">
        <v>661</v>
      </c>
      <c r="E130" s="119">
        <v>2539</v>
      </c>
      <c r="F130" s="118">
        <v>44</v>
      </c>
      <c r="G130" s="120">
        <v>40151</v>
      </c>
    </row>
    <row r="131" spans="1:7" x14ac:dyDescent="0.25">
      <c r="A131" s="118">
        <f>SUBTOTAL(3,$B$6:B131)</f>
        <v>126</v>
      </c>
      <c r="B131" s="118" t="s">
        <v>817</v>
      </c>
      <c r="C131" s="118" t="s">
        <v>818</v>
      </c>
      <c r="D131" s="118" t="s">
        <v>623</v>
      </c>
      <c r="E131" s="119">
        <v>2528</v>
      </c>
      <c r="F131" s="118">
        <v>44</v>
      </c>
      <c r="G131" s="120">
        <v>40137</v>
      </c>
    </row>
    <row r="132" spans="1:7" x14ac:dyDescent="0.25">
      <c r="A132" s="118">
        <f>SUBTOTAL(3,$B$6:B132)</f>
        <v>127</v>
      </c>
      <c r="B132" s="118" t="s">
        <v>819</v>
      </c>
      <c r="C132" s="118" t="s">
        <v>820</v>
      </c>
      <c r="D132" s="118" t="s">
        <v>564</v>
      </c>
      <c r="E132" s="119">
        <v>2527</v>
      </c>
      <c r="F132" s="118">
        <v>46</v>
      </c>
      <c r="G132" s="120">
        <v>40022</v>
      </c>
    </row>
    <row r="133" spans="1:7" x14ac:dyDescent="0.25">
      <c r="A133" s="118">
        <f>SUBTOTAL(3,$B$6:B133)</f>
        <v>128</v>
      </c>
      <c r="B133" s="118" t="s">
        <v>821</v>
      </c>
      <c r="C133" s="118" t="s">
        <v>822</v>
      </c>
      <c r="D133" s="118" t="s">
        <v>561</v>
      </c>
      <c r="E133" s="119">
        <v>2524</v>
      </c>
      <c r="F133" s="118">
        <v>39</v>
      </c>
      <c r="G133" s="120">
        <v>40511</v>
      </c>
    </row>
    <row r="134" spans="1:7" x14ac:dyDescent="0.25">
      <c r="A134" s="118">
        <f>SUBTOTAL(3,$B$6:B134)</f>
        <v>129</v>
      </c>
      <c r="B134" s="118" t="s">
        <v>823</v>
      </c>
      <c r="C134" s="118" t="s">
        <v>824</v>
      </c>
      <c r="D134" s="118" t="s">
        <v>555</v>
      </c>
      <c r="E134" s="119">
        <v>2523</v>
      </c>
      <c r="F134" s="118">
        <v>30</v>
      </c>
      <c r="G134" s="120">
        <v>40465</v>
      </c>
    </row>
    <row r="135" spans="1:7" x14ac:dyDescent="0.25">
      <c r="A135" s="118">
        <f>SUBTOTAL(3,$B$6:B135)</f>
        <v>130</v>
      </c>
      <c r="B135" s="118" t="s">
        <v>825</v>
      </c>
      <c r="C135" s="118" t="s">
        <v>826</v>
      </c>
      <c r="D135" s="118" t="s">
        <v>564</v>
      </c>
      <c r="E135" s="119">
        <v>2519</v>
      </c>
      <c r="F135" s="118">
        <v>31</v>
      </c>
      <c r="G135" s="120">
        <v>40459</v>
      </c>
    </row>
    <row r="136" spans="1:7" x14ac:dyDescent="0.25">
      <c r="A136" s="118">
        <f>SUBTOTAL(3,$B$6:B136)</f>
        <v>131</v>
      </c>
      <c r="B136" s="118" t="s">
        <v>827</v>
      </c>
      <c r="C136" s="118" t="s">
        <v>828</v>
      </c>
      <c r="D136" s="118" t="s">
        <v>564</v>
      </c>
      <c r="E136" s="119">
        <v>2510</v>
      </c>
      <c r="F136" s="118">
        <v>31</v>
      </c>
      <c r="G136" s="120">
        <v>40414</v>
      </c>
    </row>
    <row r="137" spans="1:7" x14ac:dyDescent="0.25">
      <c r="A137" s="118">
        <f>SUBTOTAL(3,$B$6:B137)</f>
        <v>132</v>
      </c>
      <c r="B137" s="118" t="s">
        <v>829</v>
      </c>
      <c r="C137" s="118" t="s">
        <v>830</v>
      </c>
      <c r="D137" s="118" t="s">
        <v>546</v>
      </c>
      <c r="E137" s="119">
        <v>2506</v>
      </c>
      <c r="F137" s="118">
        <v>39</v>
      </c>
      <c r="G137" s="120">
        <v>40445</v>
      </c>
    </row>
    <row r="138" spans="1:7" x14ac:dyDescent="0.25">
      <c r="A138" s="118">
        <f>SUBTOTAL(3,$B$6:B138)</f>
        <v>133</v>
      </c>
      <c r="B138" s="118" t="s">
        <v>831</v>
      </c>
      <c r="C138" s="118" t="s">
        <v>832</v>
      </c>
      <c r="D138" s="118" t="s">
        <v>540</v>
      </c>
      <c r="E138" s="119">
        <v>2504</v>
      </c>
      <c r="F138" s="118">
        <v>40</v>
      </c>
      <c r="G138" s="120">
        <v>40414</v>
      </c>
    </row>
    <row r="139" spans="1:7" x14ac:dyDescent="0.25">
      <c r="A139" s="118">
        <f>SUBTOTAL(3,$B$6:B139)</f>
        <v>134</v>
      </c>
      <c r="B139" s="118" t="s">
        <v>833</v>
      </c>
      <c r="C139" s="118" t="s">
        <v>834</v>
      </c>
      <c r="D139" s="118" t="s">
        <v>641</v>
      </c>
      <c r="E139" s="119">
        <v>2503</v>
      </c>
      <c r="F139" s="118">
        <v>30</v>
      </c>
      <c r="G139" s="120">
        <v>43103</v>
      </c>
    </row>
    <row r="140" spans="1:7" x14ac:dyDescent="0.25">
      <c r="A140" s="118">
        <f>SUBTOTAL(3,$B$6:B140)</f>
        <v>135</v>
      </c>
      <c r="B140" s="118" t="s">
        <v>835</v>
      </c>
      <c r="C140" s="118" t="s">
        <v>836</v>
      </c>
      <c r="D140" s="118" t="s">
        <v>682</v>
      </c>
      <c r="E140" s="119">
        <v>2502</v>
      </c>
      <c r="F140" s="118">
        <v>37</v>
      </c>
      <c r="G140" s="120">
        <v>40578</v>
      </c>
    </row>
    <row r="141" spans="1:7" x14ac:dyDescent="0.25">
      <c r="A141" s="118">
        <f>SUBTOTAL(3,$B$6:B141)</f>
        <v>136</v>
      </c>
      <c r="B141" s="118" t="s">
        <v>837</v>
      </c>
      <c r="C141" s="118" t="s">
        <v>838</v>
      </c>
      <c r="D141" s="118" t="s">
        <v>698</v>
      </c>
      <c r="E141" s="119">
        <v>2500</v>
      </c>
      <c r="F141" s="118">
        <v>44</v>
      </c>
      <c r="G141" s="120">
        <v>40162</v>
      </c>
    </row>
    <row r="142" spans="1:7" x14ac:dyDescent="0.25">
      <c r="A142" s="118">
        <f>SUBTOTAL(3,$B$6:B142)</f>
        <v>137</v>
      </c>
      <c r="B142" s="118" t="s">
        <v>839</v>
      </c>
      <c r="C142" s="118" t="s">
        <v>840</v>
      </c>
      <c r="D142" s="118" t="s">
        <v>561</v>
      </c>
      <c r="E142" s="119">
        <v>2499</v>
      </c>
      <c r="F142" s="118">
        <v>38</v>
      </c>
      <c r="G142" s="120">
        <v>40555</v>
      </c>
    </row>
    <row r="143" spans="1:7" x14ac:dyDescent="0.25">
      <c r="A143" s="118">
        <f>SUBTOTAL(3,$B$6:B143)</f>
        <v>138</v>
      </c>
      <c r="B143" s="118" t="s">
        <v>841</v>
      </c>
      <c r="C143" s="118" t="s">
        <v>842</v>
      </c>
      <c r="D143" s="118" t="s">
        <v>564</v>
      </c>
      <c r="E143" s="119">
        <v>2498</v>
      </c>
      <c r="F143" s="118">
        <v>40</v>
      </c>
      <c r="G143" s="120">
        <v>40424</v>
      </c>
    </row>
    <row r="144" spans="1:7" x14ac:dyDescent="0.25">
      <c r="A144" s="118">
        <f>SUBTOTAL(3,$B$6:B144)</f>
        <v>139</v>
      </c>
      <c r="B144" s="118" t="s">
        <v>843</v>
      </c>
      <c r="C144" s="118" t="s">
        <v>844</v>
      </c>
      <c r="D144" s="118" t="s">
        <v>661</v>
      </c>
      <c r="E144" s="119">
        <v>2495</v>
      </c>
      <c r="F144" s="118">
        <v>42</v>
      </c>
      <c r="G144" s="120">
        <v>40281</v>
      </c>
    </row>
    <row r="145" spans="1:7" x14ac:dyDescent="0.25">
      <c r="A145" s="118">
        <f>SUBTOTAL(3,$B$6:B145)</f>
        <v>140</v>
      </c>
      <c r="B145" s="118" t="s">
        <v>845</v>
      </c>
      <c r="C145" s="118" t="s">
        <v>846</v>
      </c>
      <c r="D145" s="118" t="s">
        <v>561</v>
      </c>
      <c r="E145" s="119">
        <v>2494</v>
      </c>
      <c r="F145" s="118">
        <v>40</v>
      </c>
      <c r="G145" s="120">
        <v>40427</v>
      </c>
    </row>
    <row r="146" spans="1:7" x14ac:dyDescent="0.25">
      <c r="A146" s="118">
        <f>SUBTOTAL(3,$B$6:B146)</f>
        <v>141</v>
      </c>
      <c r="B146" s="118" t="s">
        <v>847</v>
      </c>
      <c r="C146" s="118" t="s">
        <v>848</v>
      </c>
      <c r="D146" s="118" t="s">
        <v>734</v>
      </c>
      <c r="E146" s="119">
        <v>2481</v>
      </c>
      <c r="F146" s="118">
        <v>23</v>
      </c>
      <c r="G146" s="120">
        <v>43524</v>
      </c>
    </row>
    <row r="147" spans="1:7" x14ac:dyDescent="0.25">
      <c r="A147" s="118">
        <f>SUBTOTAL(3,$B$6:B147)</f>
        <v>142</v>
      </c>
      <c r="B147" s="118" t="s">
        <v>849</v>
      </c>
      <c r="C147" s="118" t="s">
        <v>850</v>
      </c>
      <c r="D147" s="118" t="s">
        <v>594</v>
      </c>
      <c r="E147" s="119">
        <v>2477</v>
      </c>
      <c r="F147" s="118">
        <v>50</v>
      </c>
      <c r="G147" s="120">
        <v>38951</v>
      </c>
    </row>
    <row r="148" spans="1:7" x14ac:dyDescent="0.25">
      <c r="A148" s="118">
        <f>SUBTOTAL(3,$B$6:B148)</f>
        <v>143</v>
      </c>
      <c r="B148" s="118" t="s">
        <v>851</v>
      </c>
      <c r="C148" s="118" t="s">
        <v>852</v>
      </c>
      <c r="D148" s="118" t="s">
        <v>552</v>
      </c>
      <c r="E148" s="119">
        <v>2471</v>
      </c>
      <c r="F148" s="118">
        <v>31</v>
      </c>
      <c r="G148" s="120">
        <v>40429</v>
      </c>
    </row>
    <row r="149" spans="1:7" x14ac:dyDescent="0.25">
      <c r="A149" s="118">
        <f>SUBTOTAL(3,$B$6:B149)</f>
        <v>144</v>
      </c>
      <c r="B149" s="118" t="s">
        <v>853</v>
      </c>
      <c r="C149" s="118" t="s">
        <v>854</v>
      </c>
      <c r="D149" s="118" t="s">
        <v>661</v>
      </c>
      <c r="E149" s="119">
        <v>2469</v>
      </c>
      <c r="F149" s="118">
        <v>42</v>
      </c>
      <c r="G149" s="120">
        <v>40283</v>
      </c>
    </row>
    <row r="150" spans="1:7" x14ac:dyDescent="0.25">
      <c r="A150" s="118">
        <f>SUBTOTAL(3,$B$6:B150)</f>
        <v>145</v>
      </c>
      <c r="B150" s="118" t="s">
        <v>855</v>
      </c>
      <c r="C150" s="118" t="s">
        <v>856</v>
      </c>
      <c r="D150" s="118" t="s">
        <v>600</v>
      </c>
      <c r="E150" s="119">
        <v>2452</v>
      </c>
      <c r="F150" s="118">
        <v>44</v>
      </c>
      <c r="G150" s="120">
        <v>40113</v>
      </c>
    </row>
    <row r="151" spans="1:7" x14ac:dyDescent="0.25">
      <c r="A151" s="118">
        <f>SUBTOTAL(3,$B$6:B151)</f>
        <v>146</v>
      </c>
      <c r="B151" s="118" t="s">
        <v>857</v>
      </c>
      <c r="C151" s="118" t="s">
        <v>858</v>
      </c>
      <c r="D151" s="118" t="s">
        <v>564</v>
      </c>
      <c r="E151" s="119">
        <v>2450</v>
      </c>
      <c r="F151" s="118">
        <v>27</v>
      </c>
      <c r="G151" s="120">
        <v>43279</v>
      </c>
    </row>
    <row r="152" spans="1:7" x14ac:dyDescent="0.25">
      <c r="A152" s="118">
        <f>SUBTOTAL(3,$B$6:B152)</f>
        <v>147</v>
      </c>
      <c r="B152" s="118" t="s">
        <v>859</v>
      </c>
      <c r="C152" s="118" t="s">
        <v>860</v>
      </c>
      <c r="D152" s="118" t="s">
        <v>549</v>
      </c>
      <c r="E152" s="119">
        <v>2450</v>
      </c>
      <c r="F152" s="118">
        <v>41</v>
      </c>
      <c r="G152" s="120">
        <v>40354</v>
      </c>
    </row>
    <row r="153" spans="1:7" x14ac:dyDescent="0.25">
      <c r="A153" s="118">
        <f>SUBTOTAL(3,$B$6:B153)</f>
        <v>148</v>
      </c>
      <c r="B153" s="118" t="s">
        <v>861</v>
      </c>
      <c r="C153" s="118" t="s">
        <v>862</v>
      </c>
      <c r="D153" s="118" t="s">
        <v>623</v>
      </c>
      <c r="E153" s="119">
        <v>2448</v>
      </c>
      <c r="F153" s="118">
        <v>42</v>
      </c>
      <c r="G153" s="120">
        <v>40259</v>
      </c>
    </row>
    <row r="154" spans="1:7" x14ac:dyDescent="0.25">
      <c r="A154" s="118">
        <f>SUBTOTAL(3,$B$6:B154)</f>
        <v>149</v>
      </c>
      <c r="B154" s="118" t="s">
        <v>863</v>
      </c>
      <c r="C154" s="118" t="s">
        <v>864</v>
      </c>
      <c r="D154" s="118" t="s">
        <v>546</v>
      </c>
      <c r="E154" s="119">
        <v>2447</v>
      </c>
      <c r="F154" s="118">
        <v>45</v>
      </c>
      <c r="G154" s="120">
        <v>40064</v>
      </c>
    </row>
    <row r="155" spans="1:7" x14ac:dyDescent="0.25">
      <c r="A155" s="118">
        <f>SUBTOTAL(3,$B$6:B155)</f>
        <v>150</v>
      </c>
      <c r="B155" s="118" t="s">
        <v>865</v>
      </c>
      <c r="C155" s="118" t="s">
        <v>866</v>
      </c>
      <c r="D155" s="118" t="s">
        <v>561</v>
      </c>
      <c r="E155" s="119">
        <v>2446</v>
      </c>
      <c r="F155" s="118">
        <v>41</v>
      </c>
      <c r="G155" s="120">
        <v>40365</v>
      </c>
    </row>
    <row r="156" spans="1:7" x14ac:dyDescent="0.25">
      <c r="A156" s="118">
        <f>SUBTOTAL(3,$B$6:B156)</f>
        <v>151</v>
      </c>
      <c r="B156" s="118" t="s">
        <v>867</v>
      </c>
      <c r="C156" s="118" t="s">
        <v>868</v>
      </c>
      <c r="D156" s="118" t="s">
        <v>567</v>
      </c>
      <c r="E156" s="119">
        <v>2445</v>
      </c>
      <c r="F156" s="118">
        <v>31</v>
      </c>
      <c r="G156" s="120">
        <v>40462</v>
      </c>
    </row>
    <row r="157" spans="1:7" x14ac:dyDescent="0.25">
      <c r="A157" s="118">
        <f>SUBTOTAL(3,$B$6:B157)</f>
        <v>152</v>
      </c>
      <c r="B157" s="118" t="s">
        <v>869</v>
      </c>
      <c r="C157" s="118" t="s">
        <v>870</v>
      </c>
      <c r="D157" s="118" t="s">
        <v>586</v>
      </c>
      <c r="E157" s="119">
        <v>2437</v>
      </c>
      <c r="F157" s="118">
        <v>44</v>
      </c>
      <c r="G157" s="120">
        <v>40141</v>
      </c>
    </row>
    <row r="158" spans="1:7" x14ac:dyDescent="0.25">
      <c r="A158" s="118">
        <f>SUBTOTAL(3,$B$6:B158)</f>
        <v>153</v>
      </c>
      <c r="B158" s="118" t="s">
        <v>871</v>
      </c>
      <c r="C158" s="118" t="s">
        <v>872</v>
      </c>
      <c r="D158" s="118" t="s">
        <v>561</v>
      </c>
      <c r="E158" s="119">
        <v>2436</v>
      </c>
      <c r="F158" s="118">
        <v>30</v>
      </c>
      <c r="G158" s="120">
        <v>43971</v>
      </c>
    </row>
    <row r="159" spans="1:7" x14ac:dyDescent="0.25">
      <c r="A159" s="118">
        <f>SUBTOTAL(3,$B$6:B159)</f>
        <v>154</v>
      </c>
      <c r="B159" s="118" t="s">
        <v>873</v>
      </c>
      <c r="C159" s="118" t="s">
        <v>874</v>
      </c>
      <c r="D159" s="118" t="s">
        <v>561</v>
      </c>
      <c r="E159" s="119">
        <v>2434</v>
      </c>
      <c r="F159" s="118">
        <v>41</v>
      </c>
      <c r="G159" s="120">
        <v>40366</v>
      </c>
    </row>
    <row r="160" spans="1:7" x14ac:dyDescent="0.25">
      <c r="A160" s="118">
        <f>SUBTOTAL(3,$B$6:B160)</f>
        <v>155</v>
      </c>
      <c r="B160" s="118" t="s">
        <v>875</v>
      </c>
      <c r="C160" s="118" t="s">
        <v>876</v>
      </c>
      <c r="D160" s="118" t="s">
        <v>734</v>
      </c>
      <c r="E160" s="119">
        <v>2433</v>
      </c>
      <c r="F160" s="118">
        <v>21</v>
      </c>
      <c r="G160" s="120">
        <v>43636</v>
      </c>
    </row>
    <row r="161" spans="1:7" x14ac:dyDescent="0.25">
      <c r="A161" s="118">
        <f>SUBTOTAL(3,$B$6:B161)</f>
        <v>156</v>
      </c>
      <c r="B161" s="118" t="s">
        <v>877</v>
      </c>
      <c r="C161" s="118" t="s">
        <v>878</v>
      </c>
      <c r="D161" s="118" t="s">
        <v>641</v>
      </c>
      <c r="E161" s="119">
        <v>2429</v>
      </c>
      <c r="F161" s="118">
        <v>50</v>
      </c>
      <c r="G161" s="120">
        <v>38918</v>
      </c>
    </row>
    <row r="162" spans="1:7" x14ac:dyDescent="0.25">
      <c r="A162" s="118">
        <f>SUBTOTAL(3,$B$6:B162)</f>
        <v>157</v>
      </c>
      <c r="B162" s="118" t="s">
        <v>879</v>
      </c>
      <c r="C162" s="118" t="s">
        <v>880</v>
      </c>
      <c r="D162" s="118" t="s">
        <v>561</v>
      </c>
      <c r="E162" s="119">
        <v>2419</v>
      </c>
      <c r="F162" s="118">
        <v>40</v>
      </c>
      <c r="G162" s="120">
        <v>40378</v>
      </c>
    </row>
    <row r="163" spans="1:7" x14ac:dyDescent="0.25">
      <c r="A163" s="118">
        <f>SUBTOTAL(3,$B$6:B163)</f>
        <v>158</v>
      </c>
      <c r="B163" s="118" t="s">
        <v>881</v>
      </c>
      <c r="C163" s="118" t="s">
        <v>882</v>
      </c>
      <c r="D163" s="118" t="s">
        <v>567</v>
      </c>
      <c r="E163" s="119">
        <v>2414</v>
      </c>
      <c r="F163" s="118">
        <v>47</v>
      </c>
      <c r="G163" s="120">
        <v>40010</v>
      </c>
    </row>
    <row r="164" spans="1:7" x14ac:dyDescent="0.25">
      <c r="A164" s="118">
        <f>SUBTOTAL(3,$B$6:B164)</f>
        <v>159</v>
      </c>
      <c r="B164" s="118" t="s">
        <v>883</v>
      </c>
      <c r="C164" s="118" t="s">
        <v>884</v>
      </c>
      <c r="D164" s="118" t="s">
        <v>552</v>
      </c>
      <c r="E164" s="119">
        <v>2413</v>
      </c>
      <c r="F164" s="118">
        <v>29</v>
      </c>
      <c r="G164" s="120">
        <v>43172</v>
      </c>
    </row>
    <row r="165" spans="1:7" x14ac:dyDescent="0.25">
      <c r="A165" s="118">
        <f>SUBTOTAL(3,$B$6:B165)</f>
        <v>160</v>
      </c>
      <c r="B165" s="118" t="s">
        <v>885</v>
      </c>
      <c r="C165" s="118" t="s">
        <v>886</v>
      </c>
      <c r="D165" s="118" t="s">
        <v>540</v>
      </c>
      <c r="E165" s="119">
        <v>2406</v>
      </c>
      <c r="F165" s="118">
        <v>50</v>
      </c>
      <c r="G165" s="120">
        <v>38924</v>
      </c>
    </row>
    <row r="166" spans="1:7" x14ac:dyDescent="0.25">
      <c r="A166" s="118">
        <f>SUBTOTAL(3,$B$6:B166)</f>
        <v>161</v>
      </c>
      <c r="B166" s="118" t="s">
        <v>887</v>
      </c>
      <c r="C166" s="118" t="s">
        <v>888</v>
      </c>
      <c r="D166" s="118" t="s">
        <v>561</v>
      </c>
      <c r="E166" s="119">
        <v>2404</v>
      </c>
      <c r="F166" s="118">
        <v>38</v>
      </c>
      <c r="G166" s="120">
        <v>40556</v>
      </c>
    </row>
    <row r="167" spans="1:7" x14ac:dyDescent="0.25">
      <c r="A167" s="118">
        <f>SUBTOTAL(3,$B$6:B167)</f>
        <v>162</v>
      </c>
      <c r="B167" s="118" t="s">
        <v>889</v>
      </c>
      <c r="C167" s="118" t="s">
        <v>890</v>
      </c>
      <c r="D167" s="118" t="s">
        <v>549</v>
      </c>
      <c r="E167" s="119">
        <v>2390</v>
      </c>
      <c r="F167" s="118">
        <v>39</v>
      </c>
      <c r="G167" s="120">
        <v>40493</v>
      </c>
    </row>
    <row r="168" spans="1:7" x14ac:dyDescent="0.25">
      <c r="A168" s="118">
        <f>SUBTOTAL(3,$B$6:B168)</f>
        <v>163</v>
      </c>
      <c r="B168" s="118" t="s">
        <v>891</v>
      </c>
      <c r="C168" s="118" t="s">
        <v>892</v>
      </c>
      <c r="D168" s="118" t="s">
        <v>561</v>
      </c>
      <c r="E168" s="119">
        <v>2390</v>
      </c>
      <c r="F168" s="118">
        <v>33</v>
      </c>
      <c r="G168" s="120">
        <v>40324</v>
      </c>
    </row>
    <row r="169" spans="1:7" x14ac:dyDescent="0.25">
      <c r="A169" s="118">
        <f>SUBTOTAL(3,$B$6:B169)</f>
        <v>164</v>
      </c>
      <c r="B169" s="118" t="s">
        <v>893</v>
      </c>
      <c r="C169" s="118" t="s">
        <v>894</v>
      </c>
      <c r="D169" s="118" t="s">
        <v>558</v>
      </c>
      <c r="E169" s="119">
        <v>2388</v>
      </c>
      <c r="F169" s="118">
        <v>28</v>
      </c>
      <c r="G169" s="120">
        <v>43255</v>
      </c>
    </row>
    <row r="170" spans="1:7" x14ac:dyDescent="0.25">
      <c r="A170" s="118">
        <f>SUBTOTAL(3,$B$6:B170)</f>
        <v>165</v>
      </c>
      <c r="B170" s="118" t="s">
        <v>895</v>
      </c>
      <c r="C170" s="118" t="s">
        <v>896</v>
      </c>
      <c r="D170" s="118" t="s">
        <v>561</v>
      </c>
      <c r="E170" s="119">
        <v>2386</v>
      </c>
      <c r="F170" s="118">
        <v>42</v>
      </c>
      <c r="G170" s="120">
        <v>40305</v>
      </c>
    </row>
    <row r="171" spans="1:7" x14ac:dyDescent="0.25">
      <c r="A171" s="118">
        <f>SUBTOTAL(3,$B$6:B171)</f>
        <v>166</v>
      </c>
      <c r="B171" s="118" t="s">
        <v>897</v>
      </c>
      <c r="C171" s="118" t="s">
        <v>898</v>
      </c>
      <c r="D171" s="118" t="s">
        <v>558</v>
      </c>
      <c r="E171" s="119">
        <v>2380</v>
      </c>
      <c r="F171" s="118">
        <v>26</v>
      </c>
      <c r="G171" s="120">
        <v>43368</v>
      </c>
    </row>
    <row r="172" spans="1:7" x14ac:dyDescent="0.25">
      <c r="A172" s="118">
        <f>SUBTOTAL(3,$B$6:B172)</f>
        <v>167</v>
      </c>
      <c r="B172" s="118" t="s">
        <v>899</v>
      </c>
      <c r="C172" s="118" t="s">
        <v>900</v>
      </c>
      <c r="D172" s="118" t="s">
        <v>901</v>
      </c>
      <c r="E172" s="119">
        <v>2376</v>
      </c>
      <c r="F172" s="118">
        <v>49</v>
      </c>
      <c r="G172" s="120">
        <v>39869</v>
      </c>
    </row>
    <row r="173" spans="1:7" x14ac:dyDescent="0.25">
      <c r="A173" s="118">
        <f>SUBTOTAL(3,$B$6:B173)</f>
        <v>168</v>
      </c>
      <c r="B173" s="118" t="s">
        <v>902</v>
      </c>
      <c r="C173" s="118" t="s">
        <v>903</v>
      </c>
      <c r="D173" s="118" t="s">
        <v>661</v>
      </c>
      <c r="E173" s="119">
        <v>2370</v>
      </c>
      <c r="F173" s="118">
        <v>35</v>
      </c>
      <c r="G173" s="120">
        <v>40198</v>
      </c>
    </row>
    <row r="174" spans="1:7" x14ac:dyDescent="0.25">
      <c r="A174" s="118">
        <f>SUBTOTAL(3,$B$6:B174)</f>
        <v>169</v>
      </c>
      <c r="B174" s="118" t="s">
        <v>904</v>
      </c>
      <c r="C174" s="118" t="s">
        <v>905</v>
      </c>
      <c r="D174" s="118" t="s">
        <v>661</v>
      </c>
      <c r="E174" s="119">
        <v>2365</v>
      </c>
      <c r="F174" s="118">
        <v>21</v>
      </c>
      <c r="G174" s="120">
        <v>43621</v>
      </c>
    </row>
    <row r="175" spans="1:7" x14ac:dyDescent="0.25">
      <c r="A175" s="118">
        <f>SUBTOTAL(3,$B$6:B175)</f>
        <v>170</v>
      </c>
      <c r="B175" s="118" t="s">
        <v>906</v>
      </c>
      <c r="C175" s="118" t="s">
        <v>907</v>
      </c>
      <c r="D175" s="118" t="s">
        <v>698</v>
      </c>
      <c r="E175" s="119">
        <v>2365</v>
      </c>
      <c r="F175" s="118">
        <v>43</v>
      </c>
      <c r="G175" s="120">
        <v>40227</v>
      </c>
    </row>
    <row r="176" spans="1:7" x14ac:dyDescent="0.25">
      <c r="A176" s="118">
        <f>SUBTOTAL(3,$B$6:B176)</f>
        <v>171</v>
      </c>
      <c r="B176" s="118" t="s">
        <v>908</v>
      </c>
      <c r="C176" s="118" t="s">
        <v>909</v>
      </c>
      <c r="D176" s="118" t="s">
        <v>734</v>
      </c>
      <c r="E176" s="119">
        <v>2360</v>
      </c>
      <c r="F176" s="118">
        <v>31</v>
      </c>
      <c r="G176" s="120">
        <v>40441</v>
      </c>
    </row>
    <row r="177" spans="1:7" x14ac:dyDescent="0.25">
      <c r="A177" s="118">
        <f>SUBTOTAL(3,$B$6:B177)</f>
        <v>172</v>
      </c>
      <c r="B177" s="118" t="s">
        <v>910</v>
      </c>
      <c r="C177" s="118" t="s">
        <v>911</v>
      </c>
      <c r="D177" s="118" t="s">
        <v>564</v>
      </c>
      <c r="E177" s="119">
        <v>2356</v>
      </c>
      <c r="F177" s="118">
        <v>40</v>
      </c>
      <c r="G177" s="120">
        <v>40395</v>
      </c>
    </row>
    <row r="178" spans="1:7" x14ac:dyDescent="0.25">
      <c r="A178" s="118">
        <f>SUBTOTAL(3,$B$6:B178)</f>
        <v>173</v>
      </c>
      <c r="B178" s="118" t="s">
        <v>912</v>
      </c>
      <c r="C178" s="118" t="s">
        <v>913</v>
      </c>
      <c r="D178" s="118" t="s">
        <v>661</v>
      </c>
      <c r="E178" s="119">
        <v>2350</v>
      </c>
      <c r="F178" s="118">
        <v>21</v>
      </c>
      <c r="G178" s="120">
        <v>43628</v>
      </c>
    </row>
    <row r="179" spans="1:7" x14ac:dyDescent="0.25">
      <c r="A179" s="118">
        <f>SUBTOTAL(3,$B$6:B179)</f>
        <v>174</v>
      </c>
      <c r="B179" s="118" t="s">
        <v>914</v>
      </c>
      <c r="C179" s="118" t="s">
        <v>915</v>
      </c>
      <c r="D179" s="118" t="s">
        <v>641</v>
      </c>
      <c r="E179" s="119">
        <v>2350</v>
      </c>
      <c r="F179" s="118">
        <v>35</v>
      </c>
      <c r="G179" s="120">
        <v>40204</v>
      </c>
    </row>
    <row r="180" spans="1:7" x14ac:dyDescent="0.25">
      <c r="A180" s="118">
        <f>SUBTOTAL(3,$B$6:B180)</f>
        <v>175</v>
      </c>
      <c r="B180" s="118" t="s">
        <v>916</v>
      </c>
      <c r="C180" s="118" t="s">
        <v>917</v>
      </c>
      <c r="D180" s="118" t="s">
        <v>561</v>
      </c>
      <c r="E180" s="119">
        <v>2346</v>
      </c>
      <c r="F180" s="118">
        <v>25</v>
      </c>
      <c r="G180" s="120">
        <v>43420</v>
      </c>
    </row>
    <row r="181" spans="1:7" x14ac:dyDescent="0.25">
      <c r="A181" s="118">
        <f>SUBTOTAL(3,$B$6:B181)</f>
        <v>176</v>
      </c>
      <c r="B181" s="118" t="s">
        <v>918</v>
      </c>
      <c r="C181" s="118" t="s">
        <v>919</v>
      </c>
      <c r="D181" s="118" t="s">
        <v>540</v>
      </c>
      <c r="E181" s="119">
        <v>2344</v>
      </c>
      <c r="F181" s="118">
        <v>22</v>
      </c>
      <c r="G181" s="120">
        <v>43600</v>
      </c>
    </row>
    <row r="182" spans="1:7" x14ac:dyDescent="0.25">
      <c r="A182" s="118">
        <f>SUBTOTAL(3,$B$6:B182)</f>
        <v>177</v>
      </c>
      <c r="B182" s="118" t="s">
        <v>920</v>
      </c>
      <c r="C182" s="118" t="s">
        <v>921</v>
      </c>
      <c r="D182" s="118" t="s">
        <v>586</v>
      </c>
      <c r="E182" s="119">
        <v>2343</v>
      </c>
      <c r="F182" s="118">
        <v>51</v>
      </c>
      <c r="G182" s="120">
        <v>38862</v>
      </c>
    </row>
    <row r="183" spans="1:7" x14ac:dyDescent="0.25">
      <c r="A183" s="118">
        <f>SUBTOTAL(3,$B$6:B183)</f>
        <v>178</v>
      </c>
      <c r="B183" s="118" t="s">
        <v>922</v>
      </c>
      <c r="C183" s="118" t="s">
        <v>923</v>
      </c>
      <c r="D183" s="118" t="s">
        <v>594</v>
      </c>
      <c r="E183" s="119">
        <v>2338</v>
      </c>
      <c r="F183" s="118">
        <v>45</v>
      </c>
      <c r="G183" s="120">
        <v>40092</v>
      </c>
    </row>
    <row r="184" spans="1:7" x14ac:dyDescent="0.25">
      <c r="A184" s="118">
        <f>SUBTOTAL(3,$B$6:B184)</f>
        <v>179</v>
      </c>
      <c r="B184" s="118" t="s">
        <v>924</v>
      </c>
      <c r="C184" s="118" t="s">
        <v>925</v>
      </c>
      <c r="D184" s="118" t="s">
        <v>564</v>
      </c>
      <c r="E184" s="119">
        <v>2332</v>
      </c>
      <c r="F184" s="118">
        <v>30</v>
      </c>
      <c r="G184" s="120">
        <v>43122</v>
      </c>
    </row>
    <row r="185" spans="1:7" x14ac:dyDescent="0.25">
      <c r="A185" s="118">
        <f>SUBTOTAL(3,$B$6:B185)</f>
        <v>180</v>
      </c>
      <c r="B185" s="118" t="s">
        <v>926</v>
      </c>
      <c r="C185" s="118" t="s">
        <v>927</v>
      </c>
      <c r="D185" s="118" t="s">
        <v>641</v>
      </c>
      <c r="E185" s="119">
        <v>2330</v>
      </c>
      <c r="F185" s="118">
        <v>43</v>
      </c>
      <c r="G185" s="120">
        <v>40191</v>
      </c>
    </row>
    <row r="186" spans="1:7" x14ac:dyDescent="0.25">
      <c r="A186" s="118">
        <f>SUBTOTAL(3,$B$6:B186)</f>
        <v>181</v>
      </c>
      <c r="B186" s="118" t="s">
        <v>928</v>
      </c>
      <c r="C186" s="118" t="s">
        <v>929</v>
      </c>
      <c r="D186" s="118" t="s">
        <v>549</v>
      </c>
      <c r="E186" s="119">
        <v>2328</v>
      </c>
      <c r="F186" s="118">
        <v>47</v>
      </c>
      <c r="G186" s="120">
        <v>39997</v>
      </c>
    </row>
    <row r="187" spans="1:7" x14ac:dyDescent="0.25">
      <c r="A187" s="118">
        <f>SUBTOTAL(3,$B$6:B187)</f>
        <v>182</v>
      </c>
      <c r="B187" s="118" t="s">
        <v>930</v>
      </c>
      <c r="C187" s="118" t="s">
        <v>931</v>
      </c>
      <c r="D187" s="118" t="s">
        <v>564</v>
      </c>
      <c r="E187" s="119">
        <v>2327</v>
      </c>
      <c r="F187" s="118">
        <v>30</v>
      </c>
      <c r="G187" s="120">
        <v>43118</v>
      </c>
    </row>
    <row r="188" spans="1:7" x14ac:dyDescent="0.25">
      <c r="A188" s="118">
        <f>SUBTOTAL(3,$B$6:B188)</f>
        <v>183</v>
      </c>
      <c r="B188" s="118" t="s">
        <v>932</v>
      </c>
      <c r="C188" s="118" t="s">
        <v>933</v>
      </c>
      <c r="D188" s="118" t="s">
        <v>572</v>
      </c>
      <c r="E188" s="119">
        <v>2324</v>
      </c>
      <c r="F188" s="118">
        <v>50</v>
      </c>
      <c r="G188" s="120">
        <v>38917</v>
      </c>
    </row>
    <row r="189" spans="1:7" x14ac:dyDescent="0.25">
      <c r="A189" s="118">
        <f>SUBTOTAL(3,$B$6:B189)</f>
        <v>184</v>
      </c>
      <c r="B189" s="118" t="s">
        <v>934</v>
      </c>
      <c r="C189" s="118" t="s">
        <v>935</v>
      </c>
      <c r="D189" s="118" t="s">
        <v>609</v>
      </c>
      <c r="E189" s="119">
        <v>2322</v>
      </c>
      <c r="F189" s="118">
        <v>46</v>
      </c>
      <c r="G189" s="120">
        <v>40030</v>
      </c>
    </row>
    <row r="190" spans="1:7" x14ac:dyDescent="0.25">
      <c r="A190" s="118">
        <f>SUBTOTAL(3,$B$6:B190)</f>
        <v>185</v>
      </c>
      <c r="B190" s="118" t="s">
        <v>936</v>
      </c>
      <c r="C190" s="118" t="s">
        <v>937</v>
      </c>
      <c r="D190" s="118" t="s">
        <v>564</v>
      </c>
      <c r="E190" s="119">
        <v>2320</v>
      </c>
      <c r="F190" s="118">
        <v>36</v>
      </c>
      <c r="G190" s="120">
        <v>40666</v>
      </c>
    </row>
    <row r="191" spans="1:7" x14ac:dyDescent="0.25">
      <c r="A191" s="118">
        <f>SUBTOTAL(3,$B$6:B191)</f>
        <v>186</v>
      </c>
      <c r="B191" s="118" t="s">
        <v>938</v>
      </c>
      <c r="C191" s="118" t="s">
        <v>939</v>
      </c>
      <c r="D191" s="118" t="s">
        <v>546</v>
      </c>
      <c r="E191" s="119">
        <v>2317</v>
      </c>
      <c r="F191" s="118">
        <v>40</v>
      </c>
      <c r="G191" s="120">
        <v>40374</v>
      </c>
    </row>
    <row r="192" spans="1:7" x14ac:dyDescent="0.25">
      <c r="A192" s="118">
        <f>SUBTOTAL(3,$B$6:B192)</f>
        <v>187</v>
      </c>
      <c r="B192" s="118" t="s">
        <v>940</v>
      </c>
      <c r="C192" s="118" t="s">
        <v>941</v>
      </c>
      <c r="D192" s="118" t="s">
        <v>711</v>
      </c>
      <c r="E192" s="119">
        <v>2313</v>
      </c>
      <c r="F192" s="118">
        <v>50</v>
      </c>
      <c r="G192" s="120">
        <v>39820</v>
      </c>
    </row>
    <row r="193" spans="1:7" x14ac:dyDescent="0.25">
      <c r="A193" s="118">
        <f>SUBTOTAL(3,$B$6:B193)</f>
        <v>188</v>
      </c>
      <c r="B193" s="118" t="s">
        <v>942</v>
      </c>
      <c r="C193" s="118" t="s">
        <v>943</v>
      </c>
      <c r="D193" s="118" t="s">
        <v>546</v>
      </c>
      <c r="E193" s="119">
        <v>2304</v>
      </c>
      <c r="F193" s="118">
        <v>36</v>
      </c>
      <c r="G193" s="120">
        <v>40626</v>
      </c>
    </row>
    <row r="194" spans="1:7" x14ac:dyDescent="0.25">
      <c r="A194" s="118">
        <f>SUBTOTAL(3,$B$6:B194)</f>
        <v>189</v>
      </c>
      <c r="B194" s="118" t="s">
        <v>944</v>
      </c>
      <c r="C194" s="118" t="s">
        <v>945</v>
      </c>
      <c r="D194" s="118" t="s">
        <v>540</v>
      </c>
      <c r="E194" s="119">
        <v>2304</v>
      </c>
      <c r="F194" s="118">
        <v>36</v>
      </c>
      <c r="G194" s="120">
        <v>40634</v>
      </c>
    </row>
    <row r="195" spans="1:7" x14ac:dyDescent="0.25">
      <c r="A195" s="118">
        <f>SUBTOTAL(3,$B$6:B195)</f>
        <v>190</v>
      </c>
      <c r="B195" s="118" t="s">
        <v>946</v>
      </c>
      <c r="C195" s="118" t="s">
        <v>947</v>
      </c>
      <c r="D195" s="118" t="s">
        <v>579</v>
      </c>
      <c r="E195" s="119">
        <v>2299</v>
      </c>
      <c r="F195" s="118">
        <v>43</v>
      </c>
      <c r="G195" s="120">
        <v>40206</v>
      </c>
    </row>
    <row r="196" spans="1:7" x14ac:dyDescent="0.25">
      <c r="A196" s="118">
        <f>SUBTOTAL(3,$B$6:B196)</f>
        <v>191</v>
      </c>
      <c r="B196" s="118" t="s">
        <v>948</v>
      </c>
      <c r="C196" s="118" t="s">
        <v>949</v>
      </c>
      <c r="D196" s="118" t="s">
        <v>609</v>
      </c>
      <c r="E196" s="119">
        <v>2299</v>
      </c>
      <c r="F196" s="118">
        <v>47</v>
      </c>
      <c r="G196" s="120">
        <v>39969</v>
      </c>
    </row>
    <row r="197" spans="1:7" x14ac:dyDescent="0.25">
      <c r="A197" s="118">
        <f>SUBTOTAL(3,$B$6:B197)</f>
        <v>192</v>
      </c>
      <c r="B197" s="118" t="s">
        <v>950</v>
      </c>
      <c r="C197" s="118" t="s">
        <v>951</v>
      </c>
      <c r="D197" s="118" t="s">
        <v>564</v>
      </c>
      <c r="E197" s="119">
        <v>2290</v>
      </c>
      <c r="F197" s="118">
        <v>32</v>
      </c>
      <c r="G197" s="120">
        <v>40354</v>
      </c>
    </row>
    <row r="198" spans="1:7" x14ac:dyDescent="0.25">
      <c r="A198" s="118">
        <f>SUBTOTAL(3,$B$6:B198)</f>
        <v>193</v>
      </c>
      <c r="B198" s="118" t="s">
        <v>952</v>
      </c>
      <c r="C198" s="118" t="s">
        <v>953</v>
      </c>
      <c r="D198" s="118" t="s">
        <v>695</v>
      </c>
      <c r="E198" s="119">
        <v>2286</v>
      </c>
      <c r="F198" s="118">
        <v>46</v>
      </c>
      <c r="G198" s="120">
        <v>40029</v>
      </c>
    </row>
    <row r="199" spans="1:7" x14ac:dyDescent="0.25">
      <c r="A199" s="118">
        <f>SUBTOTAL(3,$B$6:B199)</f>
        <v>194</v>
      </c>
      <c r="B199" s="118" t="s">
        <v>954</v>
      </c>
      <c r="C199" s="118" t="s">
        <v>955</v>
      </c>
      <c r="D199" s="118" t="s">
        <v>561</v>
      </c>
      <c r="E199" s="119">
        <v>2286</v>
      </c>
      <c r="F199" s="118">
        <v>48</v>
      </c>
      <c r="G199" s="120">
        <v>39913</v>
      </c>
    </row>
    <row r="200" spans="1:7" x14ac:dyDescent="0.25">
      <c r="A200" s="118">
        <f>SUBTOTAL(3,$B$6:B200)</f>
        <v>195</v>
      </c>
      <c r="B200" s="118" t="s">
        <v>956</v>
      </c>
      <c r="C200" s="118" t="s">
        <v>957</v>
      </c>
      <c r="D200" s="118" t="s">
        <v>567</v>
      </c>
      <c r="E200" s="119">
        <v>2281</v>
      </c>
      <c r="F200" s="118">
        <v>29</v>
      </c>
      <c r="G200" s="120">
        <v>43188</v>
      </c>
    </row>
    <row r="201" spans="1:7" x14ac:dyDescent="0.25">
      <c r="A201" s="118">
        <f>SUBTOTAL(3,$B$6:B201)</f>
        <v>196</v>
      </c>
      <c r="B201" s="118" t="s">
        <v>958</v>
      </c>
      <c r="C201" s="118" t="s">
        <v>959</v>
      </c>
      <c r="D201" s="118" t="s">
        <v>695</v>
      </c>
      <c r="E201" s="119">
        <v>2280</v>
      </c>
      <c r="F201" s="118">
        <v>26</v>
      </c>
      <c r="G201" s="120">
        <v>43327</v>
      </c>
    </row>
    <row r="202" spans="1:7" x14ac:dyDescent="0.25">
      <c r="A202" s="118">
        <f>SUBTOTAL(3,$B$6:B202)</f>
        <v>197</v>
      </c>
      <c r="B202" s="118" t="s">
        <v>960</v>
      </c>
      <c r="C202" s="118" t="s">
        <v>961</v>
      </c>
      <c r="D202" s="118" t="s">
        <v>661</v>
      </c>
      <c r="E202" s="119">
        <v>2278</v>
      </c>
      <c r="F202" s="118">
        <v>32</v>
      </c>
      <c r="G202" s="120">
        <v>40360</v>
      </c>
    </row>
    <row r="203" spans="1:7" x14ac:dyDescent="0.25">
      <c r="A203" s="118">
        <f>SUBTOTAL(3,$B$6:B203)</f>
        <v>198</v>
      </c>
      <c r="B203" s="118" t="s">
        <v>962</v>
      </c>
      <c r="C203" s="118" t="s">
        <v>963</v>
      </c>
      <c r="D203" s="118" t="s">
        <v>682</v>
      </c>
      <c r="E203" s="119">
        <v>2277</v>
      </c>
      <c r="F203" s="118">
        <v>31</v>
      </c>
      <c r="G203" s="120">
        <v>40421</v>
      </c>
    </row>
    <row r="204" spans="1:7" x14ac:dyDescent="0.25">
      <c r="A204" s="118">
        <f>SUBTOTAL(3,$B$6:B204)</f>
        <v>199</v>
      </c>
      <c r="B204" s="118" t="s">
        <v>964</v>
      </c>
      <c r="C204" s="118" t="s">
        <v>965</v>
      </c>
      <c r="D204" s="118" t="s">
        <v>636</v>
      </c>
      <c r="E204" s="119">
        <v>2271</v>
      </c>
      <c r="F204" s="118">
        <v>41</v>
      </c>
      <c r="G204" s="120">
        <v>40317</v>
      </c>
    </row>
    <row r="205" spans="1:7" x14ac:dyDescent="0.25">
      <c r="A205" s="118">
        <f>SUBTOTAL(3,$B$6:B205)</f>
        <v>200</v>
      </c>
      <c r="B205" s="118" t="s">
        <v>966</v>
      </c>
      <c r="C205" s="118" t="s">
        <v>967</v>
      </c>
      <c r="D205" s="118" t="s">
        <v>561</v>
      </c>
      <c r="E205" s="119">
        <v>2270</v>
      </c>
      <c r="F205" s="118">
        <v>39</v>
      </c>
      <c r="G205" s="120">
        <v>40507</v>
      </c>
    </row>
    <row r="206" spans="1:7" x14ac:dyDescent="0.25">
      <c r="A206" s="118">
        <f>SUBTOTAL(3,$B$6:B206)</f>
        <v>201</v>
      </c>
      <c r="B206" s="118" t="s">
        <v>968</v>
      </c>
      <c r="C206" s="118" t="s">
        <v>969</v>
      </c>
      <c r="D206" s="118" t="s">
        <v>549</v>
      </c>
      <c r="E206" s="119">
        <v>2268</v>
      </c>
      <c r="F206" s="118">
        <v>21</v>
      </c>
      <c r="G206" s="120">
        <v>43640</v>
      </c>
    </row>
    <row r="207" spans="1:7" x14ac:dyDescent="0.25">
      <c r="A207" s="118">
        <f>SUBTOTAL(3,$B$6:B207)</f>
        <v>202</v>
      </c>
      <c r="B207" s="118" t="s">
        <v>970</v>
      </c>
      <c r="C207" s="118" t="s">
        <v>971</v>
      </c>
      <c r="D207" s="118" t="s">
        <v>695</v>
      </c>
      <c r="E207" s="119">
        <v>2263</v>
      </c>
      <c r="F207" s="118">
        <v>34</v>
      </c>
      <c r="G207" s="120">
        <v>40235</v>
      </c>
    </row>
    <row r="208" spans="1:7" x14ac:dyDescent="0.25">
      <c r="A208" s="118">
        <f>SUBTOTAL(3,$B$6:B208)</f>
        <v>203</v>
      </c>
      <c r="B208" s="118" t="s">
        <v>972</v>
      </c>
      <c r="C208" s="118" t="s">
        <v>973</v>
      </c>
      <c r="D208" s="118" t="s">
        <v>734</v>
      </c>
      <c r="E208" s="119">
        <v>2263</v>
      </c>
      <c r="F208" s="118">
        <v>38</v>
      </c>
      <c r="G208" s="120">
        <v>40543</v>
      </c>
    </row>
    <row r="209" spans="1:7" x14ac:dyDescent="0.25">
      <c r="A209" s="118">
        <f>SUBTOTAL(3,$B$6:B209)</f>
        <v>204</v>
      </c>
      <c r="B209" s="118" t="s">
        <v>974</v>
      </c>
      <c r="C209" s="118" t="s">
        <v>975</v>
      </c>
      <c r="D209" s="118" t="s">
        <v>540</v>
      </c>
      <c r="E209" s="119">
        <v>2262</v>
      </c>
      <c r="F209" s="118">
        <v>24</v>
      </c>
      <c r="G209" s="120">
        <v>43454</v>
      </c>
    </row>
    <row r="210" spans="1:7" x14ac:dyDescent="0.25">
      <c r="A210" s="118">
        <f>SUBTOTAL(3,$B$6:B210)</f>
        <v>205</v>
      </c>
      <c r="B210" s="118" t="s">
        <v>976</v>
      </c>
      <c r="C210" s="118" t="s">
        <v>977</v>
      </c>
      <c r="D210" s="118" t="s">
        <v>594</v>
      </c>
      <c r="E210" s="119">
        <v>2258</v>
      </c>
      <c r="F210" s="118">
        <v>44</v>
      </c>
      <c r="G210" s="120">
        <v>40170</v>
      </c>
    </row>
    <row r="211" spans="1:7" x14ac:dyDescent="0.25">
      <c r="A211" s="118">
        <f>SUBTOTAL(3,$B$6:B211)</f>
        <v>206</v>
      </c>
      <c r="B211" s="118" t="s">
        <v>978</v>
      </c>
      <c r="C211" s="118" t="s">
        <v>979</v>
      </c>
      <c r="D211" s="118" t="s">
        <v>682</v>
      </c>
      <c r="E211" s="119">
        <v>2256</v>
      </c>
      <c r="F211" s="118">
        <v>23</v>
      </c>
      <c r="G211" s="120">
        <v>43510</v>
      </c>
    </row>
    <row r="212" spans="1:7" x14ac:dyDescent="0.25">
      <c r="A212" s="118">
        <f>SUBTOTAL(3,$B$6:B212)</f>
        <v>207</v>
      </c>
      <c r="B212" s="118" t="s">
        <v>980</v>
      </c>
      <c r="C212" s="118" t="s">
        <v>981</v>
      </c>
      <c r="D212" s="118" t="s">
        <v>695</v>
      </c>
      <c r="E212" s="119">
        <v>2246</v>
      </c>
      <c r="F212" s="118">
        <v>28</v>
      </c>
      <c r="G212" s="120">
        <v>43210</v>
      </c>
    </row>
    <row r="213" spans="1:7" x14ac:dyDescent="0.25">
      <c r="A213" s="118">
        <f>SUBTOTAL(3,$B$6:B213)</f>
        <v>208</v>
      </c>
      <c r="B213" s="118" t="s">
        <v>982</v>
      </c>
      <c r="C213" s="118" t="s">
        <v>983</v>
      </c>
      <c r="D213" s="118" t="s">
        <v>546</v>
      </c>
      <c r="E213" s="119">
        <v>2245</v>
      </c>
      <c r="F213" s="118">
        <v>39</v>
      </c>
      <c r="G213" s="120">
        <v>40441</v>
      </c>
    </row>
    <row r="214" spans="1:7" x14ac:dyDescent="0.25">
      <c r="A214" s="118">
        <f>SUBTOTAL(3,$B$6:B214)</f>
        <v>209</v>
      </c>
      <c r="B214" s="118" t="s">
        <v>984</v>
      </c>
      <c r="C214" s="118" t="s">
        <v>985</v>
      </c>
      <c r="D214" s="118" t="s">
        <v>609</v>
      </c>
      <c r="E214" s="119">
        <v>2243</v>
      </c>
      <c r="F214" s="118">
        <v>44</v>
      </c>
      <c r="G214" s="120">
        <v>43925</v>
      </c>
    </row>
    <row r="215" spans="1:7" x14ac:dyDescent="0.25">
      <c r="A215" s="118">
        <f>SUBTOTAL(3,$B$6:B215)</f>
        <v>210</v>
      </c>
      <c r="B215" s="118" t="s">
        <v>986</v>
      </c>
      <c r="C215" s="118" t="s">
        <v>987</v>
      </c>
      <c r="D215" s="118" t="s">
        <v>561</v>
      </c>
      <c r="E215" s="119">
        <v>2232</v>
      </c>
      <c r="F215" s="118">
        <v>50</v>
      </c>
      <c r="G215" s="120">
        <v>38946</v>
      </c>
    </row>
    <row r="216" spans="1:7" x14ac:dyDescent="0.25">
      <c r="A216" s="118">
        <f>SUBTOTAL(3,$B$6:B216)</f>
        <v>211</v>
      </c>
      <c r="B216" s="118" t="s">
        <v>988</v>
      </c>
      <c r="C216" s="118" t="s">
        <v>989</v>
      </c>
      <c r="D216" s="118" t="s">
        <v>561</v>
      </c>
      <c r="E216" s="119">
        <v>2228</v>
      </c>
      <c r="F216" s="118">
        <v>34</v>
      </c>
      <c r="G216" s="120">
        <v>40269</v>
      </c>
    </row>
    <row r="217" spans="1:7" x14ac:dyDescent="0.25">
      <c r="A217" s="118">
        <f>SUBTOTAL(3,$B$6:B217)</f>
        <v>212</v>
      </c>
      <c r="B217" s="118" t="s">
        <v>990</v>
      </c>
      <c r="C217" s="118" t="s">
        <v>991</v>
      </c>
      <c r="D217" s="118" t="s">
        <v>564</v>
      </c>
      <c r="E217" s="119">
        <v>2222</v>
      </c>
      <c r="F217" s="118">
        <v>42</v>
      </c>
      <c r="G217" s="120">
        <v>40303</v>
      </c>
    </row>
    <row r="218" spans="1:7" x14ac:dyDescent="0.25">
      <c r="A218" s="118">
        <f>SUBTOTAL(3,$B$6:B218)</f>
        <v>213</v>
      </c>
      <c r="B218" s="118" t="s">
        <v>992</v>
      </c>
      <c r="C218" s="118" t="s">
        <v>993</v>
      </c>
      <c r="D218" s="118" t="s">
        <v>661</v>
      </c>
      <c r="E218" s="119">
        <v>2219</v>
      </c>
      <c r="F218" s="118">
        <v>25</v>
      </c>
      <c r="G218" s="120">
        <v>43411</v>
      </c>
    </row>
    <row r="219" spans="1:7" x14ac:dyDescent="0.25">
      <c r="A219" s="118">
        <f>SUBTOTAL(3,$B$6:B219)</f>
        <v>214</v>
      </c>
      <c r="B219" s="118" t="s">
        <v>994</v>
      </c>
      <c r="C219" s="118" t="s">
        <v>995</v>
      </c>
      <c r="D219" s="118" t="s">
        <v>641</v>
      </c>
      <c r="E219" s="119">
        <v>2218</v>
      </c>
      <c r="F219" s="118">
        <v>46</v>
      </c>
      <c r="G219" s="120">
        <v>40017</v>
      </c>
    </row>
    <row r="220" spans="1:7" x14ac:dyDescent="0.25">
      <c r="A220" s="118">
        <f>SUBTOTAL(3,$B$6:B220)</f>
        <v>215</v>
      </c>
      <c r="B220" s="118" t="s">
        <v>996</v>
      </c>
      <c r="C220" s="118" t="s">
        <v>997</v>
      </c>
      <c r="D220" s="118" t="s">
        <v>561</v>
      </c>
      <c r="E220" s="119">
        <v>2218</v>
      </c>
      <c r="F220" s="118">
        <v>36</v>
      </c>
      <c r="G220" s="120">
        <v>40651</v>
      </c>
    </row>
    <row r="221" spans="1:7" x14ac:dyDescent="0.25">
      <c r="A221" s="118">
        <f>SUBTOTAL(3,$B$6:B221)</f>
        <v>216</v>
      </c>
      <c r="B221" s="118" t="s">
        <v>998</v>
      </c>
      <c r="C221" s="118" t="s">
        <v>999</v>
      </c>
      <c r="D221" s="118" t="s">
        <v>561</v>
      </c>
      <c r="E221" s="119">
        <v>2218</v>
      </c>
      <c r="F221" s="118">
        <v>35</v>
      </c>
      <c r="G221" s="120">
        <v>40190</v>
      </c>
    </row>
    <row r="222" spans="1:7" x14ac:dyDescent="0.25">
      <c r="A222" s="118">
        <f>SUBTOTAL(3,$B$6:B222)</f>
        <v>217</v>
      </c>
      <c r="B222" s="118" t="s">
        <v>1000</v>
      </c>
      <c r="C222" s="118" t="s">
        <v>1001</v>
      </c>
      <c r="D222" s="118" t="s">
        <v>561</v>
      </c>
      <c r="E222" s="119">
        <v>2215</v>
      </c>
      <c r="F222" s="118">
        <v>36</v>
      </c>
      <c r="G222" s="120">
        <v>40662</v>
      </c>
    </row>
    <row r="223" spans="1:7" x14ac:dyDescent="0.25">
      <c r="A223" s="118">
        <f>SUBTOTAL(3,$B$6:B223)</f>
        <v>218</v>
      </c>
      <c r="B223" s="118" t="s">
        <v>1002</v>
      </c>
      <c r="C223" s="118" t="s">
        <v>1003</v>
      </c>
      <c r="D223" s="118" t="s">
        <v>540</v>
      </c>
      <c r="E223" s="119">
        <v>2207</v>
      </c>
      <c r="F223" s="118">
        <v>27</v>
      </c>
      <c r="G223" s="120">
        <v>43270</v>
      </c>
    </row>
    <row r="224" spans="1:7" x14ac:dyDescent="0.25">
      <c r="A224" s="118">
        <f>SUBTOTAL(3,$B$6:B224)</f>
        <v>219</v>
      </c>
      <c r="B224" s="118" t="s">
        <v>1004</v>
      </c>
      <c r="C224" s="118" t="s">
        <v>1005</v>
      </c>
      <c r="D224" s="118" t="s">
        <v>540</v>
      </c>
      <c r="E224" s="119">
        <v>2205</v>
      </c>
      <c r="F224" s="118">
        <v>47</v>
      </c>
      <c r="G224" s="120">
        <v>40000</v>
      </c>
    </row>
    <row r="225" spans="1:7" x14ac:dyDescent="0.25">
      <c r="A225" s="118">
        <f>SUBTOTAL(3,$B$6:B225)</f>
        <v>220</v>
      </c>
      <c r="B225" s="118" t="s">
        <v>1006</v>
      </c>
      <c r="C225" s="118" t="s">
        <v>1007</v>
      </c>
      <c r="D225" s="118" t="s">
        <v>561</v>
      </c>
      <c r="E225" s="119">
        <v>2197</v>
      </c>
      <c r="F225" s="118">
        <v>42</v>
      </c>
      <c r="G225" s="120">
        <v>40309</v>
      </c>
    </row>
    <row r="226" spans="1:7" x14ac:dyDescent="0.25">
      <c r="A226" s="118">
        <f>SUBTOTAL(3,$B$6:B226)</f>
        <v>221</v>
      </c>
      <c r="B226" s="118" t="s">
        <v>1008</v>
      </c>
      <c r="C226" s="118" t="s">
        <v>1009</v>
      </c>
      <c r="D226" s="118" t="s">
        <v>543</v>
      </c>
      <c r="E226" s="119">
        <v>2182</v>
      </c>
      <c r="F226" s="118">
        <v>50</v>
      </c>
      <c r="G226" s="120">
        <v>38909</v>
      </c>
    </row>
    <row r="227" spans="1:7" x14ac:dyDescent="0.25">
      <c r="A227" s="118">
        <f>SUBTOTAL(3,$B$6:B227)</f>
        <v>222</v>
      </c>
      <c r="B227" s="118" t="s">
        <v>1010</v>
      </c>
      <c r="C227" s="118" t="s">
        <v>1011</v>
      </c>
      <c r="D227" s="118" t="s">
        <v>594</v>
      </c>
      <c r="E227" s="119">
        <v>2179</v>
      </c>
      <c r="F227" s="118">
        <v>22</v>
      </c>
      <c r="G227" s="120">
        <v>43598</v>
      </c>
    </row>
    <row r="228" spans="1:7" x14ac:dyDescent="0.25">
      <c r="A228" s="118">
        <f>SUBTOTAL(3,$B$6:B228)</f>
        <v>223</v>
      </c>
      <c r="B228" s="118" t="s">
        <v>1012</v>
      </c>
      <c r="C228" s="118" t="s">
        <v>1013</v>
      </c>
      <c r="D228" s="118" t="s">
        <v>564</v>
      </c>
      <c r="E228" s="119">
        <v>2177</v>
      </c>
      <c r="F228" s="118">
        <v>40</v>
      </c>
      <c r="G228" s="120">
        <v>40392</v>
      </c>
    </row>
    <row r="229" spans="1:7" x14ac:dyDescent="0.25">
      <c r="A229" s="118">
        <f>SUBTOTAL(3,$B$6:B229)</f>
        <v>224</v>
      </c>
      <c r="B229" s="118" t="s">
        <v>1014</v>
      </c>
      <c r="C229" s="118" t="s">
        <v>1015</v>
      </c>
      <c r="D229" s="118" t="s">
        <v>546</v>
      </c>
      <c r="E229" s="119">
        <v>2176</v>
      </c>
      <c r="F229" s="118">
        <v>42</v>
      </c>
      <c r="G229" s="120">
        <v>40254</v>
      </c>
    </row>
    <row r="230" spans="1:7" x14ac:dyDescent="0.25">
      <c r="A230" s="118">
        <f>SUBTOTAL(3,$B$6:B230)</f>
        <v>225</v>
      </c>
      <c r="B230" s="118" t="s">
        <v>1016</v>
      </c>
      <c r="C230" s="118" t="s">
        <v>1017</v>
      </c>
      <c r="D230" s="118" t="s">
        <v>698</v>
      </c>
      <c r="E230" s="119">
        <v>2167</v>
      </c>
      <c r="F230" s="118">
        <v>24</v>
      </c>
      <c r="G230" s="120">
        <v>43476</v>
      </c>
    </row>
    <row r="231" spans="1:7" x14ac:dyDescent="0.25">
      <c r="A231" s="118">
        <f>SUBTOTAL(3,$B$6:B231)</f>
        <v>226</v>
      </c>
      <c r="B231" s="118" t="s">
        <v>1018</v>
      </c>
      <c r="C231" s="118" t="s">
        <v>1019</v>
      </c>
      <c r="D231" s="118" t="s">
        <v>579</v>
      </c>
      <c r="E231" s="119">
        <v>2163</v>
      </c>
      <c r="F231" s="118">
        <v>31</v>
      </c>
      <c r="G231" s="120">
        <v>40410</v>
      </c>
    </row>
    <row r="232" spans="1:7" x14ac:dyDescent="0.25">
      <c r="A232" s="118">
        <f>SUBTOTAL(3,$B$6:B232)</f>
        <v>227</v>
      </c>
      <c r="B232" s="118" t="s">
        <v>1020</v>
      </c>
      <c r="C232" s="118" t="s">
        <v>1021</v>
      </c>
      <c r="D232" s="118" t="s">
        <v>597</v>
      </c>
      <c r="E232" s="119">
        <v>2160</v>
      </c>
      <c r="F232" s="118">
        <v>33</v>
      </c>
      <c r="G232" s="120">
        <v>40287</v>
      </c>
    </row>
    <row r="233" spans="1:7" x14ac:dyDescent="0.25">
      <c r="A233" s="118">
        <f>SUBTOTAL(3,$B$6:B233)</f>
        <v>228</v>
      </c>
      <c r="B233" s="118" t="s">
        <v>1022</v>
      </c>
      <c r="C233" s="118" t="s">
        <v>1023</v>
      </c>
      <c r="D233" s="118" t="s">
        <v>654</v>
      </c>
      <c r="E233" s="119">
        <v>2157</v>
      </c>
      <c r="F233" s="118">
        <v>45</v>
      </c>
      <c r="G233" s="120">
        <v>40108</v>
      </c>
    </row>
    <row r="234" spans="1:7" x14ac:dyDescent="0.25">
      <c r="A234" s="118">
        <f>SUBTOTAL(3,$B$6:B234)</f>
        <v>229</v>
      </c>
      <c r="B234" s="118" t="s">
        <v>1024</v>
      </c>
      <c r="C234" s="118" t="s">
        <v>1025</v>
      </c>
      <c r="D234" s="118" t="s">
        <v>636</v>
      </c>
      <c r="E234" s="119">
        <v>2154</v>
      </c>
      <c r="F234" s="118">
        <v>51</v>
      </c>
      <c r="G234" s="120">
        <v>38848</v>
      </c>
    </row>
    <row r="235" spans="1:7" x14ac:dyDescent="0.25">
      <c r="A235" s="118">
        <f>SUBTOTAL(3,$B$6:B235)</f>
        <v>230</v>
      </c>
      <c r="B235" s="118" t="s">
        <v>1026</v>
      </c>
      <c r="C235" s="118" t="s">
        <v>1027</v>
      </c>
      <c r="D235" s="118" t="s">
        <v>564</v>
      </c>
      <c r="E235" s="119">
        <v>2150</v>
      </c>
      <c r="F235" s="118">
        <v>32</v>
      </c>
      <c r="G235" s="120">
        <v>40380</v>
      </c>
    </row>
    <row r="236" spans="1:7" x14ac:dyDescent="0.25">
      <c r="A236" s="118">
        <f>SUBTOTAL(3,$B$6:B236)</f>
        <v>231</v>
      </c>
      <c r="B236" s="118" t="s">
        <v>1028</v>
      </c>
      <c r="C236" s="118" t="s">
        <v>1029</v>
      </c>
      <c r="D236" s="118" t="s">
        <v>558</v>
      </c>
      <c r="E236" s="119">
        <v>2135</v>
      </c>
      <c r="F236" s="118">
        <v>26</v>
      </c>
      <c r="G236" s="120">
        <v>43369</v>
      </c>
    </row>
    <row r="237" spans="1:7" x14ac:dyDescent="0.25">
      <c r="A237" s="118">
        <f>SUBTOTAL(3,$B$6:B237)</f>
        <v>232</v>
      </c>
      <c r="B237" s="118" t="s">
        <v>1030</v>
      </c>
      <c r="C237" s="118" t="s">
        <v>1031</v>
      </c>
      <c r="D237" s="118" t="s">
        <v>549</v>
      </c>
      <c r="E237" s="119">
        <v>2131</v>
      </c>
      <c r="F237" s="118">
        <v>40</v>
      </c>
      <c r="G237" s="120">
        <v>40417</v>
      </c>
    </row>
    <row r="238" spans="1:7" x14ac:dyDescent="0.25">
      <c r="A238" s="118">
        <f>SUBTOTAL(3,$B$6:B238)</f>
        <v>233</v>
      </c>
      <c r="B238" s="118" t="s">
        <v>1032</v>
      </c>
      <c r="C238" s="118" t="s">
        <v>1033</v>
      </c>
      <c r="D238" s="118" t="s">
        <v>682</v>
      </c>
      <c r="E238" s="119">
        <v>2127</v>
      </c>
      <c r="F238" s="118">
        <v>30</v>
      </c>
      <c r="G238" s="120">
        <v>43123</v>
      </c>
    </row>
    <row r="239" spans="1:7" x14ac:dyDescent="0.25">
      <c r="A239" s="118">
        <f>SUBTOTAL(3,$B$6:B239)</f>
        <v>234</v>
      </c>
      <c r="B239" s="118" t="s">
        <v>1034</v>
      </c>
      <c r="C239" s="118" t="s">
        <v>1035</v>
      </c>
      <c r="D239" s="118" t="s">
        <v>540</v>
      </c>
      <c r="E239" s="119">
        <v>2125</v>
      </c>
      <c r="F239" s="118">
        <v>39</v>
      </c>
      <c r="G239" s="120">
        <v>40452</v>
      </c>
    </row>
    <row r="240" spans="1:7" x14ac:dyDescent="0.25">
      <c r="A240" s="118">
        <f>SUBTOTAL(3,$B$6:B240)</f>
        <v>235</v>
      </c>
      <c r="B240" s="118" t="s">
        <v>1036</v>
      </c>
      <c r="C240" s="118" t="s">
        <v>1037</v>
      </c>
      <c r="D240" s="118" t="s">
        <v>546</v>
      </c>
      <c r="E240" s="119">
        <v>2122</v>
      </c>
      <c r="F240" s="118">
        <v>22</v>
      </c>
      <c r="G240" s="120">
        <v>43557</v>
      </c>
    </row>
    <row r="241" spans="1:7" x14ac:dyDescent="0.25">
      <c r="A241" s="118">
        <f>SUBTOTAL(3,$B$6:B241)</f>
        <v>236</v>
      </c>
      <c r="B241" s="118" t="s">
        <v>1038</v>
      </c>
      <c r="C241" s="118" t="s">
        <v>1039</v>
      </c>
      <c r="D241" s="118" t="s">
        <v>567</v>
      </c>
      <c r="E241" s="119">
        <v>2114</v>
      </c>
      <c r="F241" s="118">
        <v>36</v>
      </c>
      <c r="G241" s="120">
        <v>40674</v>
      </c>
    </row>
    <row r="242" spans="1:7" x14ac:dyDescent="0.25">
      <c r="A242" s="118">
        <f>SUBTOTAL(3,$B$6:B242)</f>
        <v>237</v>
      </c>
      <c r="B242" s="118" t="s">
        <v>1040</v>
      </c>
      <c r="C242" s="118" t="s">
        <v>1041</v>
      </c>
      <c r="D242" s="118" t="s">
        <v>558</v>
      </c>
      <c r="E242" s="119">
        <v>2110</v>
      </c>
      <c r="F242" s="118">
        <v>48</v>
      </c>
      <c r="G242" s="120">
        <v>39946</v>
      </c>
    </row>
    <row r="243" spans="1:7" x14ac:dyDescent="0.25">
      <c r="A243" s="118">
        <f>SUBTOTAL(3,$B$6:B243)</f>
        <v>238</v>
      </c>
      <c r="B243" s="118" t="s">
        <v>1042</v>
      </c>
      <c r="C243" s="118" t="s">
        <v>1043</v>
      </c>
      <c r="D243" s="118" t="s">
        <v>594</v>
      </c>
      <c r="E243" s="119">
        <v>2105</v>
      </c>
      <c r="F243" s="118">
        <v>49</v>
      </c>
      <c r="G243" s="120">
        <v>39871</v>
      </c>
    </row>
    <row r="244" spans="1:7" x14ac:dyDescent="0.25">
      <c r="A244" s="118">
        <f>SUBTOTAL(3,$B$6:B244)</f>
        <v>239</v>
      </c>
      <c r="B244" s="118" t="s">
        <v>1044</v>
      </c>
      <c r="C244" s="118" t="s">
        <v>1045</v>
      </c>
      <c r="D244" s="118" t="s">
        <v>552</v>
      </c>
      <c r="E244" s="119">
        <v>2101</v>
      </c>
      <c r="F244" s="118">
        <v>39</v>
      </c>
      <c r="G244" s="120">
        <v>40486</v>
      </c>
    </row>
    <row r="245" spans="1:7" x14ac:dyDescent="0.25">
      <c r="A245" s="118">
        <f>SUBTOTAL(3,$B$6:B245)</f>
        <v>240</v>
      </c>
      <c r="B245" s="118" t="s">
        <v>1046</v>
      </c>
      <c r="C245" s="118" t="s">
        <v>1047</v>
      </c>
      <c r="D245" s="118" t="s">
        <v>600</v>
      </c>
      <c r="E245" s="119">
        <v>2097</v>
      </c>
      <c r="F245" s="118">
        <v>40</v>
      </c>
      <c r="G245" s="120">
        <v>40373</v>
      </c>
    </row>
    <row r="246" spans="1:7" x14ac:dyDescent="0.25">
      <c r="A246" s="118">
        <f>SUBTOTAL(3,$B$6:B246)</f>
        <v>241</v>
      </c>
      <c r="B246" s="118" t="s">
        <v>1048</v>
      </c>
      <c r="C246" s="118" t="s">
        <v>1049</v>
      </c>
      <c r="D246" s="118" t="s">
        <v>561</v>
      </c>
      <c r="E246" s="119">
        <v>2095</v>
      </c>
      <c r="F246" s="118">
        <v>36</v>
      </c>
      <c r="G246" s="120">
        <v>40665</v>
      </c>
    </row>
    <row r="247" spans="1:7" x14ac:dyDescent="0.25">
      <c r="A247" s="118">
        <f>SUBTOTAL(3,$B$6:B247)</f>
        <v>242</v>
      </c>
      <c r="B247" s="118" t="s">
        <v>1050</v>
      </c>
      <c r="C247" s="118" t="s">
        <v>1051</v>
      </c>
      <c r="D247" s="118" t="s">
        <v>641</v>
      </c>
      <c r="E247" s="119">
        <v>2089</v>
      </c>
      <c r="F247" s="118">
        <v>30</v>
      </c>
      <c r="G247" s="120">
        <v>43104</v>
      </c>
    </row>
    <row r="248" spans="1:7" x14ac:dyDescent="0.25">
      <c r="A248" s="118">
        <f>SUBTOTAL(3,$B$6:B248)</f>
        <v>243</v>
      </c>
      <c r="B248" s="118" t="s">
        <v>1052</v>
      </c>
      <c r="C248" s="118" t="s">
        <v>1053</v>
      </c>
      <c r="D248" s="118" t="s">
        <v>564</v>
      </c>
      <c r="E248" s="119">
        <v>2081</v>
      </c>
      <c r="F248" s="118">
        <v>34</v>
      </c>
      <c r="G248" s="120">
        <v>40240</v>
      </c>
    </row>
    <row r="249" spans="1:7" x14ac:dyDescent="0.25">
      <c r="A249" s="118">
        <f>SUBTOTAL(3,$B$6:B249)</f>
        <v>244</v>
      </c>
      <c r="B249" s="118" t="s">
        <v>1054</v>
      </c>
      <c r="C249" s="118" t="s">
        <v>1055</v>
      </c>
      <c r="D249" s="118" t="s">
        <v>561</v>
      </c>
      <c r="E249" s="119">
        <v>2078</v>
      </c>
      <c r="F249" s="118">
        <v>51</v>
      </c>
      <c r="G249" s="120">
        <v>38877</v>
      </c>
    </row>
    <row r="250" spans="1:7" x14ac:dyDescent="0.25">
      <c r="A250" s="118">
        <f>SUBTOTAL(3,$B$6:B250)</f>
        <v>245</v>
      </c>
      <c r="B250" s="118" t="s">
        <v>1056</v>
      </c>
      <c r="C250" s="118" t="s">
        <v>1057</v>
      </c>
      <c r="D250" s="118" t="s">
        <v>561</v>
      </c>
      <c r="E250" s="119">
        <v>2076</v>
      </c>
      <c r="F250" s="118">
        <v>48</v>
      </c>
      <c r="G250" s="120">
        <v>39930</v>
      </c>
    </row>
    <row r="251" spans="1:7" x14ac:dyDescent="0.25">
      <c r="A251" s="118">
        <f>SUBTOTAL(3,$B$6:B251)</f>
        <v>246</v>
      </c>
      <c r="B251" s="118" t="s">
        <v>1058</v>
      </c>
      <c r="C251" s="118" t="s">
        <v>1059</v>
      </c>
      <c r="D251" s="118" t="s">
        <v>567</v>
      </c>
      <c r="E251" s="119">
        <v>2074</v>
      </c>
      <c r="F251" s="118">
        <v>40</v>
      </c>
      <c r="G251" s="120">
        <v>40435</v>
      </c>
    </row>
    <row r="252" spans="1:7" x14ac:dyDescent="0.25">
      <c r="A252" s="118">
        <f>SUBTOTAL(3,$B$6:B252)</f>
        <v>247</v>
      </c>
      <c r="B252" s="118" t="s">
        <v>1060</v>
      </c>
      <c r="C252" s="118" t="s">
        <v>1061</v>
      </c>
      <c r="D252" s="118" t="s">
        <v>549</v>
      </c>
      <c r="E252" s="119">
        <v>2069</v>
      </c>
      <c r="F252" s="118">
        <v>23</v>
      </c>
      <c r="G252" s="120">
        <v>43532</v>
      </c>
    </row>
    <row r="253" spans="1:7" x14ac:dyDescent="0.25">
      <c r="A253" s="118">
        <f>SUBTOTAL(3,$B$6:B253)</f>
        <v>248</v>
      </c>
      <c r="B253" s="118" t="s">
        <v>1062</v>
      </c>
      <c r="C253" s="118" t="s">
        <v>1063</v>
      </c>
      <c r="D253" s="118" t="s">
        <v>597</v>
      </c>
      <c r="E253" s="119">
        <v>2053</v>
      </c>
      <c r="F253" s="118">
        <v>32</v>
      </c>
      <c r="G253" s="120">
        <v>40344</v>
      </c>
    </row>
    <row r="254" spans="1:7" x14ac:dyDescent="0.25">
      <c r="A254" s="118">
        <f>SUBTOTAL(3,$B$6:B254)</f>
        <v>249</v>
      </c>
      <c r="B254" s="118" t="s">
        <v>1064</v>
      </c>
      <c r="C254" s="118" t="s">
        <v>1065</v>
      </c>
      <c r="D254" s="118" t="s">
        <v>594</v>
      </c>
      <c r="E254" s="119">
        <v>2052</v>
      </c>
      <c r="F254" s="118">
        <v>46</v>
      </c>
      <c r="G254" s="120">
        <v>40051</v>
      </c>
    </row>
    <row r="255" spans="1:7" x14ac:dyDescent="0.25">
      <c r="A255" s="118">
        <f>SUBTOTAL(3,$B$6:B255)</f>
        <v>250</v>
      </c>
      <c r="B255" s="118" t="s">
        <v>1066</v>
      </c>
      <c r="C255" s="118" t="s">
        <v>1067</v>
      </c>
      <c r="D255" s="118" t="s">
        <v>564</v>
      </c>
      <c r="E255" s="119">
        <v>2051</v>
      </c>
      <c r="F255" s="118">
        <v>40</v>
      </c>
      <c r="G255" s="120">
        <v>40428</v>
      </c>
    </row>
    <row r="256" spans="1:7" x14ac:dyDescent="0.25">
      <c r="A256" s="118">
        <f>SUBTOTAL(3,$B$6:B256)</f>
        <v>251</v>
      </c>
      <c r="B256" s="118" t="s">
        <v>1068</v>
      </c>
      <c r="C256" s="118" t="s">
        <v>1069</v>
      </c>
      <c r="D256" s="118" t="s">
        <v>567</v>
      </c>
      <c r="E256" s="119">
        <v>2045</v>
      </c>
      <c r="F256" s="118">
        <v>42</v>
      </c>
      <c r="G256" s="120">
        <v>40312</v>
      </c>
    </row>
    <row r="257" spans="1:7" x14ac:dyDescent="0.25">
      <c r="A257" s="118">
        <f>SUBTOTAL(3,$B$6:B257)</f>
        <v>252</v>
      </c>
      <c r="B257" s="118" t="s">
        <v>1070</v>
      </c>
      <c r="C257" s="118" t="s">
        <v>1071</v>
      </c>
      <c r="D257" s="118" t="s">
        <v>661</v>
      </c>
      <c r="E257" s="119">
        <v>2039</v>
      </c>
      <c r="F257" s="118">
        <v>46</v>
      </c>
      <c r="G257" s="120">
        <v>40043</v>
      </c>
    </row>
    <row r="258" spans="1:7" x14ac:dyDescent="0.25">
      <c r="A258" s="118">
        <f>SUBTOTAL(3,$B$6:B258)</f>
        <v>253</v>
      </c>
      <c r="B258" s="118" t="s">
        <v>1072</v>
      </c>
      <c r="C258" s="118" t="s">
        <v>1073</v>
      </c>
      <c r="D258" s="118" t="s">
        <v>586</v>
      </c>
      <c r="E258" s="119">
        <v>2038</v>
      </c>
      <c r="F258" s="118">
        <v>22</v>
      </c>
      <c r="G258" s="120">
        <v>43580</v>
      </c>
    </row>
    <row r="259" spans="1:7" x14ac:dyDescent="0.25">
      <c r="A259" s="118">
        <f>SUBTOTAL(3,$B$6:B259)</f>
        <v>254</v>
      </c>
      <c r="B259" s="118" t="s">
        <v>1074</v>
      </c>
      <c r="C259" s="118" t="s">
        <v>1075</v>
      </c>
      <c r="D259" s="118" t="s">
        <v>564</v>
      </c>
      <c r="E259" s="119">
        <v>2036</v>
      </c>
      <c r="F259" s="118">
        <v>25</v>
      </c>
      <c r="G259" s="120">
        <v>43396</v>
      </c>
    </row>
    <row r="260" spans="1:7" x14ac:dyDescent="0.25">
      <c r="A260" s="118">
        <f>SUBTOTAL(3,$B$6:B260)</f>
        <v>255</v>
      </c>
      <c r="B260" s="118" t="s">
        <v>1076</v>
      </c>
      <c r="C260" s="118" t="s">
        <v>1077</v>
      </c>
      <c r="D260" s="118" t="s">
        <v>698</v>
      </c>
      <c r="E260" s="119">
        <v>2036</v>
      </c>
      <c r="F260" s="118">
        <v>47</v>
      </c>
      <c r="G260" s="120">
        <v>39990</v>
      </c>
    </row>
    <row r="261" spans="1:7" x14ac:dyDescent="0.25">
      <c r="A261" s="118">
        <f>SUBTOTAL(3,$B$6:B261)</f>
        <v>256</v>
      </c>
      <c r="B261" s="118" t="s">
        <v>1078</v>
      </c>
      <c r="C261" s="118" t="s">
        <v>1079</v>
      </c>
      <c r="D261" s="118" t="s">
        <v>641</v>
      </c>
      <c r="E261" s="119">
        <v>2031</v>
      </c>
      <c r="F261" s="118">
        <v>49</v>
      </c>
      <c r="G261" s="120">
        <v>38354</v>
      </c>
    </row>
    <row r="262" spans="1:7" x14ac:dyDescent="0.25">
      <c r="A262" s="118">
        <f>SUBTOTAL(3,$B$6:B262)</f>
        <v>257</v>
      </c>
      <c r="B262" s="118" t="s">
        <v>1080</v>
      </c>
      <c r="C262" s="118" t="s">
        <v>1081</v>
      </c>
      <c r="D262" s="118" t="s">
        <v>594</v>
      </c>
      <c r="E262" s="119">
        <v>2031</v>
      </c>
      <c r="F262" s="118">
        <v>23</v>
      </c>
      <c r="G262" s="120">
        <v>43529</v>
      </c>
    </row>
    <row r="263" spans="1:7" x14ac:dyDescent="0.25">
      <c r="A263" s="118">
        <f>SUBTOTAL(3,$B$6:B263)</f>
        <v>258</v>
      </c>
      <c r="B263" s="118" t="s">
        <v>1082</v>
      </c>
      <c r="C263" s="118" t="s">
        <v>1083</v>
      </c>
      <c r="D263" s="118" t="s">
        <v>561</v>
      </c>
      <c r="E263" s="119">
        <v>2029</v>
      </c>
      <c r="F263" s="118">
        <v>48</v>
      </c>
      <c r="G263" s="120">
        <v>39920</v>
      </c>
    </row>
    <row r="264" spans="1:7" x14ac:dyDescent="0.25">
      <c r="A264" s="118">
        <f>SUBTOTAL(3,$B$6:B264)</f>
        <v>259</v>
      </c>
      <c r="B264" s="118" t="s">
        <v>1084</v>
      </c>
      <c r="C264" s="118" t="s">
        <v>1085</v>
      </c>
      <c r="D264" s="118" t="s">
        <v>641</v>
      </c>
      <c r="E264" s="119">
        <v>2026</v>
      </c>
      <c r="F264" s="118">
        <v>45</v>
      </c>
      <c r="G264" s="120">
        <v>40070</v>
      </c>
    </row>
    <row r="265" spans="1:7" x14ac:dyDescent="0.25">
      <c r="A265" s="118">
        <f>SUBTOTAL(3,$B$6:B265)</f>
        <v>260</v>
      </c>
      <c r="B265" s="118" t="s">
        <v>1086</v>
      </c>
      <c r="C265" s="118" t="s">
        <v>1087</v>
      </c>
      <c r="D265" s="118" t="s">
        <v>654</v>
      </c>
      <c r="E265" s="119">
        <v>2026</v>
      </c>
      <c r="F265" s="118">
        <v>42</v>
      </c>
      <c r="G265" s="120">
        <v>40316</v>
      </c>
    </row>
    <row r="266" spans="1:7" x14ac:dyDescent="0.25">
      <c r="A266" s="118">
        <f>SUBTOTAL(3,$B$6:B266)</f>
        <v>261</v>
      </c>
      <c r="B266" s="118" t="s">
        <v>1088</v>
      </c>
      <c r="C266" s="118" t="s">
        <v>1089</v>
      </c>
      <c r="D266" s="118" t="s">
        <v>561</v>
      </c>
      <c r="E266" s="119">
        <v>2024</v>
      </c>
      <c r="F266" s="118">
        <v>35</v>
      </c>
      <c r="G266" s="120">
        <v>40683</v>
      </c>
    </row>
    <row r="267" spans="1:7" x14ac:dyDescent="0.25">
      <c r="A267" s="118">
        <f>SUBTOTAL(3,$B$6:B267)</f>
        <v>262</v>
      </c>
      <c r="B267" s="118" t="s">
        <v>1090</v>
      </c>
      <c r="C267" s="118" t="s">
        <v>1091</v>
      </c>
      <c r="D267" s="118" t="s">
        <v>564</v>
      </c>
      <c r="E267" s="119">
        <v>2004</v>
      </c>
      <c r="F267" s="118">
        <v>43</v>
      </c>
      <c r="G267" s="120">
        <v>40246</v>
      </c>
    </row>
    <row r="268" spans="1:7" x14ac:dyDescent="0.25">
      <c r="A268" s="118">
        <f>SUBTOTAL(3,$B$6:B268)</f>
        <v>263</v>
      </c>
      <c r="B268" s="118" t="s">
        <v>1092</v>
      </c>
      <c r="C268" s="118" t="s">
        <v>1093</v>
      </c>
      <c r="D268" s="118" t="s">
        <v>641</v>
      </c>
      <c r="E268" s="119">
        <v>1989</v>
      </c>
      <c r="F268" s="118">
        <v>46</v>
      </c>
      <c r="G268" s="120">
        <v>40018</v>
      </c>
    </row>
    <row r="269" spans="1:7" x14ac:dyDescent="0.25">
      <c r="A269" s="118">
        <f>SUBTOTAL(3,$B$6:B269)</f>
        <v>264</v>
      </c>
      <c r="B269" s="118" t="s">
        <v>1094</v>
      </c>
      <c r="C269" s="118" t="s">
        <v>1095</v>
      </c>
      <c r="D269" s="118" t="s">
        <v>549</v>
      </c>
      <c r="E269" s="119">
        <v>1989</v>
      </c>
      <c r="F269" s="118">
        <v>40</v>
      </c>
      <c r="G269" s="120">
        <v>40379</v>
      </c>
    </row>
    <row r="270" spans="1:7" x14ac:dyDescent="0.25">
      <c r="A270" s="118">
        <f>SUBTOTAL(3,$B$6:B270)</f>
        <v>265</v>
      </c>
      <c r="B270" s="118" t="s">
        <v>1096</v>
      </c>
      <c r="C270" s="118" t="s">
        <v>1097</v>
      </c>
      <c r="D270" s="118" t="s">
        <v>711</v>
      </c>
      <c r="E270" s="119">
        <v>1989</v>
      </c>
      <c r="F270" s="118">
        <v>28</v>
      </c>
      <c r="G270" s="120">
        <v>43222</v>
      </c>
    </row>
    <row r="271" spans="1:7" x14ac:dyDescent="0.25">
      <c r="A271" s="118">
        <f>SUBTOTAL(3,$B$6:B271)</f>
        <v>266</v>
      </c>
      <c r="B271" s="118" t="s">
        <v>1098</v>
      </c>
      <c r="C271" s="118" t="s">
        <v>1099</v>
      </c>
      <c r="D271" s="118" t="s">
        <v>540</v>
      </c>
      <c r="E271" s="119">
        <v>1987</v>
      </c>
      <c r="F271" s="118">
        <v>51</v>
      </c>
      <c r="G271" s="120">
        <v>38854</v>
      </c>
    </row>
    <row r="272" spans="1:7" x14ac:dyDescent="0.25">
      <c r="A272" s="118">
        <f>SUBTOTAL(3,$B$6:B272)</f>
        <v>267</v>
      </c>
      <c r="B272" s="118" t="s">
        <v>1100</v>
      </c>
      <c r="C272" s="118" t="s">
        <v>1101</v>
      </c>
      <c r="D272" s="118" t="s">
        <v>543</v>
      </c>
      <c r="E272" s="119">
        <v>1980</v>
      </c>
      <c r="F272" s="118">
        <v>48</v>
      </c>
      <c r="G272" s="120">
        <v>39892</v>
      </c>
    </row>
    <row r="273" spans="1:7" x14ac:dyDescent="0.25">
      <c r="A273" s="118">
        <f>SUBTOTAL(3,$B$6:B273)</f>
        <v>268</v>
      </c>
      <c r="B273" s="118" t="s">
        <v>1102</v>
      </c>
      <c r="C273" s="118" t="s">
        <v>1103</v>
      </c>
      <c r="D273" s="118" t="s">
        <v>661</v>
      </c>
      <c r="E273" s="119">
        <v>1980</v>
      </c>
      <c r="F273" s="118">
        <v>25</v>
      </c>
      <c r="G273" s="120">
        <v>43404</v>
      </c>
    </row>
    <row r="274" spans="1:7" x14ac:dyDescent="0.25">
      <c r="A274" s="118">
        <f>SUBTOTAL(3,$B$6:B274)</f>
        <v>269</v>
      </c>
      <c r="B274" s="118" t="s">
        <v>1104</v>
      </c>
      <c r="C274" s="118" t="s">
        <v>1105</v>
      </c>
      <c r="D274" s="118" t="s">
        <v>561</v>
      </c>
      <c r="E274" s="119">
        <v>1979</v>
      </c>
      <c r="F274" s="118">
        <v>36</v>
      </c>
      <c r="G274" s="120">
        <v>40631</v>
      </c>
    </row>
    <row r="275" spans="1:7" x14ac:dyDescent="0.25">
      <c r="A275" s="118">
        <f>SUBTOTAL(3,$B$6:B275)</f>
        <v>270</v>
      </c>
      <c r="B275" s="118" t="s">
        <v>1106</v>
      </c>
      <c r="C275" s="118" t="s">
        <v>1107</v>
      </c>
      <c r="D275" s="118" t="s">
        <v>546</v>
      </c>
      <c r="E275" s="119">
        <v>1972</v>
      </c>
      <c r="F275" s="118">
        <v>31</v>
      </c>
      <c r="G275" s="120">
        <v>40388</v>
      </c>
    </row>
    <row r="276" spans="1:7" x14ac:dyDescent="0.25">
      <c r="A276" s="118">
        <f>SUBTOTAL(3,$B$6:B276)</f>
        <v>271</v>
      </c>
      <c r="B276" s="118" t="s">
        <v>1108</v>
      </c>
      <c r="C276" s="118" t="s">
        <v>1109</v>
      </c>
      <c r="D276" s="118" t="s">
        <v>540</v>
      </c>
      <c r="E276" s="119">
        <v>1967</v>
      </c>
      <c r="F276" s="118">
        <v>28</v>
      </c>
      <c r="G276" s="120">
        <v>43209</v>
      </c>
    </row>
    <row r="277" spans="1:7" x14ac:dyDescent="0.25">
      <c r="A277" s="118">
        <f>SUBTOTAL(3,$B$6:B277)</f>
        <v>272</v>
      </c>
      <c r="B277" s="118" t="s">
        <v>1110</v>
      </c>
      <c r="C277" s="118" t="s">
        <v>1111</v>
      </c>
      <c r="D277" s="118" t="s">
        <v>564</v>
      </c>
      <c r="E277" s="119">
        <v>1964</v>
      </c>
      <c r="F277" s="118">
        <v>33</v>
      </c>
      <c r="G277" s="120">
        <v>40294</v>
      </c>
    </row>
    <row r="278" spans="1:7" x14ac:dyDescent="0.25">
      <c r="A278" s="118">
        <f>SUBTOTAL(3,$B$6:B278)</f>
        <v>273</v>
      </c>
      <c r="B278" s="118" t="s">
        <v>1112</v>
      </c>
      <c r="C278" s="118" t="s">
        <v>1113</v>
      </c>
      <c r="D278" s="118" t="s">
        <v>597</v>
      </c>
      <c r="E278" s="119">
        <v>1956</v>
      </c>
      <c r="F278" s="118">
        <v>36</v>
      </c>
      <c r="G278" s="120">
        <v>40640</v>
      </c>
    </row>
    <row r="279" spans="1:7" x14ac:dyDescent="0.25">
      <c r="A279" s="118">
        <f>SUBTOTAL(3,$B$6:B279)</f>
        <v>274</v>
      </c>
      <c r="B279" s="118" t="s">
        <v>1114</v>
      </c>
      <c r="C279" s="118" t="s">
        <v>1115</v>
      </c>
      <c r="D279" s="118" t="s">
        <v>572</v>
      </c>
      <c r="E279" s="119">
        <v>1952</v>
      </c>
      <c r="F279" s="118">
        <v>38</v>
      </c>
      <c r="G279" s="120">
        <v>40520</v>
      </c>
    </row>
    <row r="280" spans="1:7" x14ac:dyDescent="0.25">
      <c r="A280" s="118">
        <f>SUBTOTAL(3,$B$6:B280)</f>
        <v>275</v>
      </c>
      <c r="B280" s="118" t="s">
        <v>1116</v>
      </c>
      <c r="C280" s="118" t="s">
        <v>1117</v>
      </c>
      <c r="D280" s="118" t="s">
        <v>540</v>
      </c>
      <c r="E280" s="119">
        <v>1950</v>
      </c>
      <c r="F280" s="118">
        <v>43</v>
      </c>
      <c r="G280" s="120">
        <v>40205</v>
      </c>
    </row>
    <row r="281" spans="1:7" x14ac:dyDescent="0.25">
      <c r="A281" s="118">
        <f>SUBTOTAL(3,$B$6:B281)</f>
        <v>276</v>
      </c>
      <c r="B281" s="118" t="s">
        <v>1118</v>
      </c>
      <c r="C281" s="118" t="s">
        <v>1119</v>
      </c>
      <c r="D281" s="118" t="s">
        <v>564</v>
      </c>
      <c r="E281" s="119">
        <v>1948</v>
      </c>
      <c r="F281" s="118">
        <v>23</v>
      </c>
      <c r="G281" s="120">
        <v>43539</v>
      </c>
    </row>
    <row r="282" spans="1:7" x14ac:dyDescent="0.25">
      <c r="A282" s="118">
        <f>SUBTOTAL(3,$B$6:B282)</f>
        <v>277</v>
      </c>
      <c r="B282" s="118" t="s">
        <v>1120</v>
      </c>
      <c r="C282" s="118" t="s">
        <v>1121</v>
      </c>
      <c r="D282" s="118" t="s">
        <v>564</v>
      </c>
      <c r="E282" s="119">
        <v>1943</v>
      </c>
      <c r="F282" s="118">
        <v>35</v>
      </c>
      <c r="G282" s="120">
        <v>40185</v>
      </c>
    </row>
    <row r="283" spans="1:7" x14ac:dyDescent="0.25">
      <c r="A283" s="118">
        <f>SUBTOTAL(3,$B$6:B283)</f>
        <v>278</v>
      </c>
      <c r="B283" s="118" t="s">
        <v>1122</v>
      </c>
      <c r="C283" s="118" t="s">
        <v>1123</v>
      </c>
      <c r="D283" s="118" t="s">
        <v>654</v>
      </c>
      <c r="E283" s="119">
        <v>1941</v>
      </c>
      <c r="F283" s="118">
        <v>31</v>
      </c>
      <c r="G283" s="120">
        <v>40463</v>
      </c>
    </row>
    <row r="284" spans="1:7" x14ac:dyDescent="0.25">
      <c r="A284" s="118">
        <f>SUBTOTAL(3,$B$6:B284)</f>
        <v>279</v>
      </c>
      <c r="B284" s="118" t="s">
        <v>1124</v>
      </c>
      <c r="C284" s="118" t="s">
        <v>1125</v>
      </c>
      <c r="D284" s="118" t="s">
        <v>698</v>
      </c>
      <c r="E284" s="119">
        <v>1935</v>
      </c>
      <c r="F284" s="118">
        <v>24</v>
      </c>
      <c r="G284" s="120">
        <v>43479</v>
      </c>
    </row>
    <row r="285" spans="1:7" x14ac:dyDescent="0.25">
      <c r="A285" s="118">
        <f>SUBTOTAL(3,$B$6:B285)</f>
        <v>280</v>
      </c>
      <c r="B285" s="118" t="s">
        <v>1126</v>
      </c>
      <c r="C285" s="118" t="s">
        <v>1127</v>
      </c>
      <c r="D285" s="118" t="s">
        <v>591</v>
      </c>
      <c r="E285" s="119">
        <v>1933</v>
      </c>
      <c r="F285" s="118">
        <v>40</v>
      </c>
      <c r="G285" s="120">
        <v>40382</v>
      </c>
    </row>
    <row r="286" spans="1:7" x14ac:dyDescent="0.25">
      <c r="A286" s="118">
        <f>SUBTOTAL(3,$B$6:B286)</f>
        <v>281</v>
      </c>
      <c r="B286" s="118" t="s">
        <v>1128</v>
      </c>
      <c r="C286" s="118" t="s">
        <v>1129</v>
      </c>
      <c r="D286" s="118" t="s">
        <v>564</v>
      </c>
      <c r="E286" s="119">
        <v>1927</v>
      </c>
      <c r="F286" s="118">
        <v>47</v>
      </c>
      <c r="G286" s="120">
        <v>40004</v>
      </c>
    </row>
    <row r="287" spans="1:7" x14ac:dyDescent="0.25">
      <c r="A287" s="118">
        <f>SUBTOTAL(3,$B$6:B287)</f>
        <v>282</v>
      </c>
      <c r="B287" s="118" t="s">
        <v>1130</v>
      </c>
      <c r="C287" s="118" t="s">
        <v>1131</v>
      </c>
      <c r="D287" s="118" t="s">
        <v>661</v>
      </c>
      <c r="E287" s="119">
        <v>1925</v>
      </c>
      <c r="F287" s="118">
        <v>22</v>
      </c>
      <c r="G287" s="120">
        <v>43592</v>
      </c>
    </row>
    <row r="288" spans="1:7" x14ac:dyDescent="0.25">
      <c r="A288" s="118">
        <f>SUBTOTAL(3,$B$6:B288)</f>
        <v>283</v>
      </c>
      <c r="B288" s="118" t="s">
        <v>1132</v>
      </c>
      <c r="C288" s="118" t="s">
        <v>1133</v>
      </c>
      <c r="D288" s="118" t="s">
        <v>567</v>
      </c>
      <c r="E288" s="119">
        <v>1916</v>
      </c>
      <c r="F288" s="118">
        <v>40</v>
      </c>
      <c r="G288" s="120">
        <v>40434</v>
      </c>
    </row>
    <row r="289" spans="1:7" x14ac:dyDescent="0.25">
      <c r="A289" s="118">
        <f>SUBTOTAL(3,$B$6:B289)</f>
        <v>284</v>
      </c>
      <c r="B289" s="118" t="s">
        <v>1134</v>
      </c>
      <c r="C289" s="118" t="s">
        <v>1135</v>
      </c>
      <c r="D289" s="118" t="s">
        <v>561</v>
      </c>
      <c r="E289" s="119">
        <v>1915</v>
      </c>
      <c r="F289" s="118">
        <v>49</v>
      </c>
      <c r="G289" s="120">
        <v>39853</v>
      </c>
    </row>
    <row r="290" spans="1:7" x14ac:dyDescent="0.25">
      <c r="A290" s="118">
        <f>SUBTOTAL(3,$B$6:B290)</f>
        <v>285</v>
      </c>
      <c r="B290" s="118" t="s">
        <v>1136</v>
      </c>
      <c r="C290" s="118" t="s">
        <v>1137</v>
      </c>
      <c r="D290" s="118" t="s">
        <v>636</v>
      </c>
      <c r="E290" s="119">
        <v>1911</v>
      </c>
      <c r="F290" s="118">
        <v>49</v>
      </c>
      <c r="G290" s="120">
        <v>39829</v>
      </c>
    </row>
    <row r="291" spans="1:7" x14ac:dyDescent="0.25">
      <c r="A291" s="118">
        <f>SUBTOTAL(3,$B$6:B291)</f>
        <v>286</v>
      </c>
      <c r="B291" s="118" t="s">
        <v>1138</v>
      </c>
      <c r="C291" s="118" t="s">
        <v>1139</v>
      </c>
      <c r="D291" s="118" t="s">
        <v>561</v>
      </c>
      <c r="E291" s="119">
        <v>1904</v>
      </c>
      <c r="F291" s="118">
        <v>50</v>
      </c>
      <c r="G291" s="120">
        <v>38943</v>
      </c>
    </row>
    <row r="292" spans="1:7" x14ac:dyDescent="0.25">
      <c r="A292" s="118">
        <f>SUBTOTAL(3,$B$6:B292)</f>
        <v>287</v>
      </c>
      <c r="B292" s="118" t="s">
        <v>1140</v>
      </c>
      <c r="C292" s="118" t="s">
        <v>1141</v>
      </c>
      <c r="D292" s="118" t="s">
        <v>661</v>
      </c>
      <c r="E292" s="119">
        <v>1902</v>
      </c>
      <c r="F292" s="118">
        <v>36</v>
      </c>
      <c r="G292" s="120">
        <v>40658</v>
      </c>
    </row>
    <row r="293" spans="1:7" x14ac:dyDescent="0.25">
      <c r="A293" s="118">
        <f>SUBTOTAL(3,$B$6:B293)</f>
        <v>288</v>
      </c>
      <c r="B293" s="118" t="s">
        <v>1142</v>
      </c>
      <c r="C293" s="118" t="s">
        <v>1143</v>
      </c>
      <c r="D293" s="118" t="s">
        <v>549</v>
      </c>
      <c r="E293" s="119">
        <v>1902</v>
      </c>
      <c r="F293" s="118">
        <v>49</v>
      </c>
      <c r="G293" s="120">
        <v>39875</v>
      </c>
    </row>
    <row r="294" spans="1:7" x14ac:dyDescent="0.25">
      <c r="A294" s="118">
        <f>SUBTOTAL(3,$B$6:B294)</f>
        <v>289</v>
      </c>
      <c r="B294" s="118" t="s">
        <v>1144</v>
      </c>
      <c r="C294" s="118" t="s">
        <v>1145</v>
      </c>
      <c r="D294" s="118" t="s">
        <v>561</v>
      </c>
      <c r="E294" s="119">
        <v>1900</v>
      </c>
      <c r="F294" s="118">
        <v>41</v>
      </c>
      <c r="G294" s="120">
        <v>40332</v>
      </c>
    </row>
    <row r="295" spans="1:7" x14ac:dyDescent="0.25">
      <c r="A295" s="118">
        <f>SUBTOTAL(3,$B$6:B295)</f>
        <v>290</v>
      </c>
      <c r="B295" s="118" t="s">
        <v>1146</v>
      </c>
      <c r="C295" s="118" t="s">
        <v>1147</v>
      </c>
      <c r="D295" s="118" t="s">
        <v>654</v>
      </c>
      <c r="E295" s="119">
        <v>1898</v>
      </c>
      <c r="F295" s="118">
        <v>28</v>
      </c>
      <c r="G295" s="120">
        <v>43256</v>
      </c>
    </row>
    <row r="296" spans="1:7" x14ac:dyDescent="0.25">
      <c r="A296" s="118">
        <f>SUBTOTAL(3,$B$6:B296)</f>
        <v>291</v>
      </c>
      <c r="B296" s="118" t="s">
        <v>1148</v>
      </c>
      <c r="C296" s="118" t="s">
        <v>1149</v>
      </c>
      <c r="D296" s="118" t="s">
        <v>561</v>
      </c>
      <c r="E296" s="119">
        <v>1895</v>
      </c>
      <c r="F296" s="118">
        <v>32</v>
      </c>
      <c r="G296" s="120">
        <v>40337</v>
      </c>
    </row>
    <row r="297" spans="1:7" x14ac:dyDescent="0.25">
      <c r="A297" s="118">
        <f>SUBTOTAL(3,$B$6:B297)</f>
        <v>292</v>
      </c>
      <c r="B297" s="118" t="s">
        <v>1150</v>
      </c>
      <c r="C297" s="118" t="s">
        <v>1151</v>
      </c>
      <c r="D297" s="118" t="s">
        <v>682</v>
      </c>
      <c r="E297" s="119">
        <v>1895</v>
      </c>
      <c r="F297" s="118">
        <v>34</v>
      </c>
      <c r="G297" s="120">
        <v>40239</v>
      </c>
    </row>
    <row r="298" spans="1:7" x14ac:dyDescent="0.25">
      <c r="A298" s="118">
        <f>SUBTOTAL(3,$B$6:B298)</f>
        <v>293</v>
      </c>
      <c r="B298" s="118" t="s">
        <v>1152</v>
      </c>
      <c r="C298" s="118" t="s">
        <v>1153</v>
      </c>
      <c r="D298" s="118" t="s">
        <v>623</v>
      </c>
      <c r="E298" s="119">
        <v>1895</v>
      </c>
      <c r="F298" s="118">
        <v>47</v>
      </c>
      <c r="G298" s="120">
        <v>38471</v>
      </c>
    </row>
    <row r="299" spans="1:7" x14ac:dyDescent="0.25">
      <c r="A299" s="118">
        <f>SUBTOTAL(3,$B$6:B299)</f>
        <v>294</v>
      </c>
      <c r="B299" s="118" t="s">
        <v>1154</v>
      </c>
      <c r="C299" s="118" t="s">
        <v>1155</v>
      </c>
      <c r="D299" s="118" t="s">
        <v>661</v>
      </c>
      <c r="E299" s="119">
        <v>1893</v>
      </c>
      <c r="F299" s="118">
        <v>30</v>
      </c>
      <c r="G299" s="120">
        <v>43129</v>
      </c>
    </row>
    <row r="300" spans="1:7" x14ac:dyDescent="0.25">
      <c r="A300" s="118">
        <f>SUBTOTAL(3,$B$6:B300)</f>
        <v>295</v>
      </c>
      <c r="B300" s="118" t="s">
        <v>1156</v>
      </c>
      <c r="C300" s="118" t="s">
        <v>1157</v>
      </c>
      <c r="D300" s="118" t="s">
        <v>546</v>
      </c>
      <c r="E300" s="119">
        <v>1879</v>
      </c>
      <c r="F300" s="118">
        <v>27</v>
      </c>
      <c r="G300" s="120">
        <v>43262</v>
      </c>
    </row>
    <row r="301" spans="1:7" x14ac:dyDescent="0.25">
      <c r="A301" s="118">
        <f>SUBTOTAL(3,$B$6:B301)</f>
        <v>296</v>
      </c>
      <c r="B301" s="118" t="s">
        <v>1158</v>
      </c>
      <c r="C301" s="118" t="s">
        <v>1159</v>
      </c>
      <c r="D301" s="118" t="s">
        <v>561</v>
      </c>
      <c r="E301" s="119">
        <v>1875</v>
      </c>
      <c r="F301" s="118">
        <v>38</v>
      </c>
      <c r="G301" s="120">
        <v>40554</v>
      </c>
    </row>
    <row r="302" spans="1:7" x14ac:dyDescent="0.25">
      <c r="A302" s="118">
        <f>SUBTOTAL(3,$B$6:B302)</f>
        <v>297</v>
      </c>
      <c r="B302" s="118" t="s">
        <v>1160</v>
      </c>
      <c r="C302" s="118" t="s">
        <v>1161</v>
      </c>
      <c r="D302" s="118" t="s">
        <v>600</v>
      </c>
      <c r="E302" s="119">
        <v>1872</v>
      </c>
      <c r="F302" s="118">
        <v>32</v>
      </c>
      <c r="G302" s="120">
        <v>40332</v>
      </c>
    </row>
    <row r="303" spans="1:7" x14ac:dyDescent="0.25">
      <c r="A303" s="118">
        <f>SUBTOTAL(3,$B$6:B303)</f>
        <v>298</v>
      </c>
      <c r="B303" s="118" t="s">
        <v>1162</v>
      </c>
      <c r="C303" s="118" t="s">
        <v>1163</v>
      </c>
      <c r="D303" s="118" t="s">
        <v>594</v>
      </c>
      <c r="E303" s="119">
        <v>1870</v>
      </c>
      <c r="F303" s="118">
        <v>46</v>
      </c>
      <c r="G303" s="120">
        <v>40050</v>
      </c>
    </row>
    <row r="304" spans="1:7" x14ac:dyDescent="0.25">
      <c r="A304" s="118">
        <f>SUBTOTAL(3,$B$6:B304)</f>
        <v>299</v>
      </c>
      <c r="B304" s="118" t="s">
        <v>1164</v>
      </c>
      <c r="C304" s="118" t="s">
        <v>1165</v>
      </c>
      <c r="D304" s="118" t="s">
        <v>561</v>
      </c>
      <c r="E304" s="119">
        <v>1869</v>
      </c>
      <c r="F304" s="118">
        <v>37</v>
      </c>
      <c r="G304" s="120">
        <v>40611</v>
      </c>
    </row>
    <row r="305" spans="1:7" x14ac:dyDescent="0.25">
      <c r="A305" s="118">
        <f>SUBTOTAL(3,$B$6:B305)</f>
        <v>300</v>
      </c>
      <c r="B305" s="118" t="s">
        <v>1166</v>
      </c>
      <c r="C305" s="118" t="s">
        <v>1167</v>
      </c>
      <c r="D305" s="118" t="s">
        <v>591</v>
      </c>
      <c r="E305" s="119">
        <v>1867</v>
      </c>
      <c r="F305" s="118">
        <v>51</v>
      </c>
      <c r="G305" s="120">
        <v>38859</v>
      </c>
    </row>
    <row r="306" spans="1:7" x14ac:dyDescent="0.25">
      <c r="A306" s="118">
        <f>SUBTOTAL(3,$B$6:B306)</f>
        <v>301</v>
      </c>
      <c r="B306" s="118" t="s">
        <v>1168</v>
      </c>
      <c r="C306" s="118" t="s">
        <v>1169</v>
      </c>
      <c r="D306" s="118" t="s">
        <v>567</v>
      </c>
      <c r="E306" s="119">
        <v>1865</v>
      </c>
      <c r="F306" s="118">
        <v>50</v>
      </c>
      <c r="G306" s="120">
        <v>39821</v>
      </c>
    </row>
    <row r="307" spans="1:7" x14ac:dyDescent="0.25">
      <c r="A307" s="118">
        <f>SUBTOTAL(3,$B$6:B307)</f>
        <v>302</v>
      </c>
      <c r="B307" s="118" t="s">
        <v>1170</v>
      </c>
      <c r="C307" s="118" t="s">
        <v>1171</v>
      </c>
      <c r="D307" s="118" t="s">
        <v>561</v>
      </c>
      <c r="E307" s="119">
        <v>1864</v>
      </c>
      <c r="F307" s="118">
        <v>30</v>
      </c>
      <c r="G307" s="120">
        <v>43109</v>
      </c>
    </row>
    <row r="308" spans="1:7" x14ac:dyDescent="0.25">
      <c r="A308" s="118">
        <f>SUBTOTAL(3,$B$6:B308)</f>
        <v>303</v>
      </c>
      <c r="B308" s="118" t="s">
        <v>1172</v>
      </c>
      <c r="C308" s="118" t="s">
        <v>1173</v>
      </c>
      <c r="D308" s="118" t="s">
        <v>564</v>
      </c>
      <c r="E308" s="119">
        <v>1863</v>
      </c>
      <c r="F308" s="118">
        <v>32</v>
      </c>
      <c r="G308" s="120">
        <v>40351</v>
      </c>
    </row>
    <row r="309" spans="1:7" x14ac:dyDescent="0.25">
      <c r="A309" s="118">
        <f>SUBTOTAL(3,$B$6:B309)</f>
        <v>304</v>
      </c>
      <c r="B309" s="118" t="s">
        <v>1174</v>
      </c>
      <c r="C309" s="118" t="s">
        <v>1175</v>
      </c>
      <c r="D309" s="118" t="s">
        <v>572</v>
      </c>
      <c r="E309" s="119">
        <v>1860</v>
      </c>
      <c r="F309" s="118">
        <v>41</v>
      </c>
      <c r="G309" s="120">
        <v>40324</v>
      </c>
    </row>
    <row r="310" spans="1:7" x14ac:dyDescent="0.25">
      <c r="A310" s="118">
        <f>SUBTOTAL(3,$B$6:B310)</f>
        <v>305</v>
      </c>
      <c r="B310" s="118" t="s">
        <v>1176</v>
      </c>
      <c r="C310" s="118" t="s">
        <v>1177</v>
      </c>
      <c r="D310" s="118" t="s">
        <v>600</v>
      </c>
      <c r="E310" s="119">
        <v>1858</v>
      </c>
      <c r="F310" s="118">
        <v>40</v>
      </c>
      <c r="G310" s="120">
        <v>40368</v>
      </c>
    </row>
    <row r="311" spans="1:7" x14ac:dyDescent="0.25">
      <c r="A311" s="118">
        <f>SUBTOTAL(3,$B$6:B311)</f>
        <v>306</v>
      </c>
      <c r="B311" s="118" t="s">
        <v>1178</v>
      </c>
      <c r="C311" s="118" t="s">
        <v>1179</v>
      </c>
      <c r="D311" s="118" t="s">
        <v>561</v>
      </c>
      <c r="E311" s="119">
        <v>1858</v>
      </c>
      <c r="F311" s="118">
        <v>35</v>
      </c>
      <c r="G311" s="120">
        <v>40686</v>
      </c>
    </row>
    <row r="312" spans="1:7" x14ac:dyDescent="0.25">
      <c r="A312" s="118">
        <f>SUBTOTAL(3,$B$6:B312)</f>
        <v>307</v>
      </c>
      <c r="B312" s="118" t="s">
        <v>1180</v>
      </c>
      <c r="C312" s="118" t="s">
        <v>1181</v>
      </c>
      <c r="D312" s="118" t="s">
        <v>620</v>
      </c>
      <c r="E312" s="119">
        <v>1851</v>
      </c>
      <c r="F312" s="118">
        <v>45</v>
      </c>
      <c r="G312" s="120">
        <v>40085</v>
      </c>
    </row>
    <row r="313" spans="1:7" x14ac:dyDescent="0.25">
      <c r="A313" s="118">
        <f>SUBTOTAL(3,$B$6:B313)</f>
        <v>308</v>
      </c>
      <c r="B313" s="118" t="s">
        <v>1182</v>
      </c>
      <c r="C313" s="118" t="s">
        <v>1183</v>
      </c>
      <c r="D313" s="118" t="s">
        <v>564</v>
      </c>
      <c r="E313" s="119">
        <v>1846</v>
      </c>
      <c r="F313" s="118">
        <v>21</v>
      </c>
      <c r="G313" s="120">
        <v>43626</v>
      </c>
    </row>
    <row r="314" spans="1:7" x14ac:dyDescent="0.25">
      <c r="A314" s="118">
        <f>SUBTOTAL(3,$B$6:B314)</f>
        <v>309</v>
      </c>
      <c r="B314" s="118" t="s">
        <v>1184</v>
      </c>
      <c r="C314" s="118" t="s">
        <v>1185</v>
      </c>
      <c r="D314" s="118" t="s">
        <v>558</v>
      </c>
      <c r="E314" s="119">
        <v>1835</v>
      </c>
      <c r="F314" s="118">
        <v>28</v>
      </c>
      <c r="G314" s="120">
        <v>43251</v>
      </c>
    </row>
    <row r="315" spans="1:7" x14ac:dyDescent="0.25">
      <c r="A315" s="118">
        <f>SUBTOTAL(3,$B$6:B315)</f>
        <v>310</v>
      </c>
      <c r="B315" s="118" t="s">
        <v>1186</v>
      </c>
      <c r="C315" s="118" t="s">
        <v>1187</v>
      </c>
      <c r="D315" s="118" t="s">
        <v>561</v>
      </c>
      <c r="E315" s="119">
        <v>1830</v>
      </c>
      <c r="F315" s="118">
        <v>39</v>
      </c>
      <c r="G315" s="120">
        <v>40505</v>
      </c>
    </row>
    <row r="316" spans="1:7" x14ac:dyDescent="0.25">
      <c r="A316" s="118">
        <f>SUBTOTAL(3,$B$6:B316)</f>
        <v>311</v>
      </c>
      <c r="B316" s="118" t="s">
        <v>1188</v>
      </c>
      <c r="C316" s="118" t="s">
        <v>1189</v>
      </c>
      <c r="D316" s="118" t="s">
        <v>540</v>
      </c>
      <c r="E316" s="119">
        <v>1825</v>
      </c>
      <c r="F316" s="118">
        <v>24</v>
      </c>
      <c r="G316" s="120">
        <v>43483</v>
      </c>
    </row>
    <row r="317" spans="1:7" x14ac:dyDescent="0.25">
      <c r="A317" s="118">
        <f>SUBTOTAL(3,$B$6:B317)</f>
        <v>312</v>
      </c>
      <c r="B317" s="118" t="s">
        <v>1190</v>
      </c>
      <c r="C317" s="118" t="s">
        <v>1191</v>
      </c>
      <c r="D317" s="118" t="s">
        <v>549</v>
      </c>
      <c r="E317" s="119">
        <v>1825</v>
      </c>
      <c r="F317" s="118">
        <v>46</v>
      </c>
      <c r="G317" s="120">
        <v>40046</v>
      </c>
    </row>
    <row r="318" spans="1:7" x14ac:dyDescent="0.25">
      <c r="A318" s="118">
        <f>SUBTOTAL(3,$B$6:B318)</f>
        <v>313</v>
      </c>
      <c r="B318" s="118" t="s">
        <v>1192</v>
      </c>
      <c r="C318" s="118" t="s">
        <v>1193</v>
      </c>
      <c r="D318" s="118" t="s">
        <v>594</v>
      </c>
      <c r="E318" s="119">
        <v>1823</v>
      </c>
      <c r="F318" s="118">
        <v>48</v>
      </c>
      <c r="G318" s="120">
        <v>39934</v>
      </c>
    </row>
    <row r="319" spans="1:7" x14ac:dyDescent="0.25">
      <c r="A319" s="118">
        <f>SUBTOTAL(3,$B$6:B319)</f>
        <v>314</v>
      </c>
      <c r="B319" s="118" t="s">
        <v>1194</v>
      </c>
      <c r="C319" s="118" t="s">
        <v>1195</v>
      </c>
      <c r="D319" s="118" t="s">
        <v>572</v>
      </c>
      <c r="E319" s="119">
        <v>1822</v>
      </c>
      <c r="F319" s="118">
        <v>50</v>
      </c>
      <c r="G319" s="120">
        <v>38916</v>
      </c>
    </row>
    <row r="320" spans="1:7" x14ac:dyDescent="0.25">
      <c r="A320" s="118">
        <f>SUBTOTAL(3,$B$6:B320)</f>
        <v>315</v>
      </c>
      <c r="B320" s="118" t="s">
        <v>1196</v>
      </c>
      <c r="C320" s="118" t="s">
        <v>1197</v>
      </c>
      <c r="D320" s="118" t="s">
        <v>636</v>
      </c>
      <c r="E320" s="119">
        <v>1817</v>
      </c>
      <c r="F320" s="118">
        <v>41</v>
      </c>
      <c r="G320" s="120">
        <v>40351</v>
      </c>
    </row>
    <row r="321" spans="1:7" x14ac:dyDescent="0.25">
      <c r="A321" s="118">
        <f>SUBTOTAL(3,$B$6:B321)</f>
        <v>316</v>
      </c>
      <c r="B321" s="118" t="s">
        <v>1198</v>
      </c>
      <c r="C321" s="118" t="s">
        <v>1199</v>
      </c>
      <c r="D321" s="118" t="s">
        <v>572</v>
      </c>
      <c r="E321" s="119">
        <v>1814</v>
      </c>
      <c r="F321" s="118">
        <v>43</v>
      </c>
      <c r="G321" s="120">
        <v>40192</v>
      </c>
    </row>
    <row r="322" spans="1:7" x14ac:dyDescent="0.25">
      <c r="A322" s="118">
        <f>SUBTOTAL(3,$B$6:B322)</f>
        <v>317</v>
      </c>
      <c r="B322" s="118" t="s">
        <v>1200</v>
      </c>
      <c r="C322" s="118" t="s">
        <v>1201</v>
      </c>
      <c r="D322" s="118" t="s">
        <v>561</v>
      </c>
      <c r="E322" s="119">
        <v>1810</v>
      </c>
      <c r="F322" s="118">
        <v>42</v>
      </c>
      <c r="G322" s="120">
        <v>40304</v>
      </c>
    </row>
    <row r="323" spans="1:7" x14ac:dyDescent="0.25">
      <c r="A323" s="118">
        <f>SUBTOTAL(3,$B$6:B323)</f>
        <v>318</v>
      </c>
      <c r="B323" s="118" t="s">
        <v>1202</v>
      </c>
      <c r="C323" s="118" t="s">
        <v>1203</v>
      </c>
      <c r="D323" s="118" t="s">
        <v>564</v>
      </c>
      <c r="E323" s="119">
        <v>1809</v>
      </c>
      <c r="F323" s="118">
        <v>27</v>
      </c>
      <c r="G323" s="120">
        <v>43291</v>
      </c>
    </row>
    <row r="324" spans="1:7" x14ac:dyDescent="0.25">
      <c r="A324" s="118">
        <f>SUBTOTAL(3,$B$6:B324)</f>
        <v>319</v>
      </c>
      <c r="B324" s="118" t="s">
        <v>1204</v>
      </c>
      <c r="C324" s="118" t="s">
        <v>1205</v>
      </c>
      <c r="D324" s="118" t="s">
        <v>623</v>
      </c>
      <c r="E324" s="119">
        <v>1801</v>
      </c>
      <c r="F324" s="118">
        <v>32</v>
      </c>
      <c r="G324" s="120">
        <v>40382</v>
      </c>
    </row>
    <row r="325" spans="1:7" x14ac:dyDescent="0.25">
      <c r="A325" s="118">
        <f>SUBTOTAL(3,$B$6:B325)</f>
        <v>320</v>
      </c>
      <c r="B325" s="118" t="s">
        <v>1206</v>
      </c>
      <c r="C325" s="118" t="s">
        <v>1207</v>
      </c>
      <c r="D325" s="118" t="s">
        <v>540</v>
      </c>
      <c r="E325" s="119">
        <v>1800</v>
      </c>
      <c r="F325" s="118">
        <v>28</v>
      </c>
      <c r="G325" s="120">
        <v>43207</v>
      </c>
    </row>
    <row r="326" spans="1:7" x14ac:dyDescent="0.25">
      <c r="A326" s="118">
        <f>SUBTOTAL(3,$B$6:B326)</f>
        <v>321</v>
      </c>
      <c r="B326" s="118" t="s">
        <v>1208</v>
      </c>
      <c r="C326" s="118" t="s">
        <v>1209</v>
      </c>
      <c r="D326" s="118" t="s">
        <v>561</v>
      </c>
      <c r="E326" s="119">
        <v>1799</v>
      </c>
      <c r="F326" s="118">
        <v>50</v>
      </c>
      <c r="G326" s="120">
        <v>38930</v>
      </c>
    </row>
    <row r="327" spans="1:7" x14ac:dyDescent="0.25">
      <c r="A327" s="118">
        <f>SUBTOTAL(3,$B$6:B327)</f>
        <v>322</v>
      </c>
      <c r="B327" s="118" t="s">
        <v>1210</v>
      </c>
      <c r="C327" s="118" t="s">
        <v>1211</v>
      </c>
      <c r="D327" s="118" t="s">
        <v>552</v>
      </c>
      <c r="E327" s="119">
        <v>1793</v>
      </c>
      <c r="F327" s="118">
        <v>24</v>
      </c>
      <c r="G327" s="120">
        <v>43475</v>
      </c>
    </row>
    <row r="328" spans="1:7" x14ac:dyDescent="0.25">
      <c r="A328" s="118">
        <f>SUBTOTAL(3,$B$6:B328)</f>
        <v>323</v>
      </c>
      <c r="B328" s="118" t="s">
        <v>1212</v>
      </c>
      <c r="C328" s="118" t="s">
        <v>1213</v>
      </c>
      <c r="D328" s="118" t="s">
        <v>698</v>
      </c>
      <c r="E328" s="119">
        <v>1792</v>
      </c>
      <c r="F328" s="118">
        <v>49</v>
      </c>
      <c r="G328" s="120">
        <v>39868</v>
      </c>
    </row>
    <row r="329" spans="1:7" x14ac:dyDescent="0.25">
      <c r="A329" s="118">
        <f>SUBTOTAL(3,$B$6:B329)</f>
        <v>324</v>
      </c>
      <c r="B329" s="118" t="s">
        <v>1214</v>
      </c>
      <c r="C329" s="118" t="s">
        <v>1215</v>
      </c>
      <c r="D329" s="118" t="s">
        <v>540</v>
      </c>
      <c r="E329" s="119">
        <v>1791</v>
      </c>
      <c r="F329" s="118">
        <v>37</v>
      </c>
      <c r="G329" s="120">
        <v>40564</v>
      </c>
    </row>
    <row r="330" spans="1:7" x14ac:dyDescent="0.25">
      <c r="A330" s="118">
        <f>SUBTOTAL(3,$B$6:B330)</f>
        <v>325</v>
      </c>
      <c r="B330" s="118" t="s">
        <v>1216</v>
      </c>
      <c r="C330" s="118" t="s">
        <v>1217</v>
      </c>
      <c r="D330" s="118" t="s">
        <v>594</v>
      </c>
      <c r="E330" s="119">
        <v>1789</v>
      </c>
      <c r="F330" s="118">
        <v>48</v>
      </c>
      <c r="G330" s="120">
        <v>39931</v>
      </c>
    </row>
    <row r="331" spans="1:7" x14ac:dyDescent="0.25">
      <c r="A331" s="118">
        <f>SUBTOTAL(3,$B$6:B331)</f>
        <v>326</v>
      </c>
      <c r="B331" s="118" t="s">
        <v>1218</v>
      </c>
      <c r="C331" s="118" t="s">
        <v>1219</v>
      </c>
      <c r="D331" s="118" t="s">
        <v>597</v>
      </c>
      <c r="E331" s="119">
        <v>1779</v>
      </c>
      <c r="F331" s="118">
        <v>23</v>
      </c>
      <c r="G331" s="120">
        <v>43504</v>
      </c>
    </row>
    <row r="332" spans="1:7" x14ac:dyDescent="0.25">
      <c r="A332" s="118">
        <f>SUBTOTAL(3,$B$6:B332)</f>
        <v>327</v>
      </c>
      <c r="B332" s="118" t="s">
        <v>1220</v>
      </c>
      <c r="C332" s="118" t="s">
        <v>1221</v>
      </c>
      <c r="D332" s="118" t="s">
        <v>609</v>
      </c>
      <c r="E332" s="119">
        <v>1775</v>
      </c>
      <c r="F332" s="118">
        <v>50</v>
      </c>
      <c r="G332" s="120">
        <v>38926</v>
      </c>
    </row>
    <row r="333" spans="1:7" x14ac:dyDescent="0.25">
      <c r="A333" s="118">
        <f>SUBTOTAL(3,$B$6:B333)</f>
        <v>328</v>
      </c>
      <c r="B333" s="118" t="s">
        <v>1222</v>
      </c>
      <c r="C333" s="118" t="s">
        <v>1223</v>
      </c>
      <c r="D333" s="118" t="s">
        <v>594</v>
      </c>
      <c r="E333" s="119">
        <v>1773</v>
      </c>
      <c r="F333" s="118">
        <v>51</v>
      </c>
      <c r="G333" s="120">
        <v>38890</v>
      </c>
    </row>
    <row r="334" spans="1:7" x14ac:dyDescent="0.25">
      <c r="A334" s="118">
        <f>SUBTOTAL(3,$B$6:B334)</f>
        <v>329</v>
      </c>
      <c r="B334" s="118" t="s">
        <v>1224</v>
      </c>
      <c r="C334" s="118" t="s">
        <v>1225</v>
      </c>
      <c r="D334" s="118" t="s">
        <v>636</v>
      </c>
      <c r="E334" s="119">
        <v>1770</v>
      </c>
      <c r="F334" s="118">
        <v>42</v>
      </c>
      <c r="G334" s="120">
        <v>40255</v>
      </c>
    </row>
    <row r="335" spans="1:7" x14ac:dyDescent="0.25">
      <c r="A335" s="118">
        <f>SUBTOTAL(3,$B$6:B335)</f>
        <v>330</v>
      </c>
      <c r="B335" s="118" t="s">
        <v>1226</v>
      </c>
      <c r="C335" s="118" t="s">
        <v>1227</v>
      </c>
      <c r="D335" s="118" t="s">
        <v>901</v>
      </c>
      <c r="E335" s="119">
        <v>1770</v>
      </c>
      <c r="F335" s="118">
        <v>31</v>
      </c>
      <c r="G335" s="120">
        <v>40456</v>
      </c>
    </row>
    <row r="336" spans="1:7" x14ac:dyDescent="0.25">
      <c r="A336" s="118">
        <f>SUBTOTAL(3,$B$6:B336)</f>
        <v>331</v>
      </c>
      <c r="B336" s="118" t="s">
        <v>1228</v>
      </c>
      <c r="C336" s="118" t="s">
        <v>1229</v>
      </c>
      <c r="D336" s="118" t="s">
        <v>654</v>
      </c>
      <c r="E336" s="119">
        <v>1762</v>
      </c>
      <c r="F336" s="118">
        <v>48</v>
      </c>
      <c r="G336" s="120">
        <v>39947</v>
      </c>
    </row>
    <row r="337" spans="1:7" x14ac:dyDescent="0.25">
      <c r="A337" s="118">
        <f>SUBTOTAL(3,$B$6:B337)</f>
        <v>332</v>
      </c>
      <c r="B337" s="118" t="s">
        <v>1230</v>
      </c>
      <c r="C337" s="118" t="s">
        <v>1231</v>
      </c>
      <c r="D337" s="118" t="s">
        <v>594</v>
      </c>
      <c r="E337" s="119">
        <v>1761</v>
      </c>
      <c r="F337" s="118">
        <v>47</v>
      </c>
      <c r="G337" s="120">
        <v>39994</v>
      </c>
    </row>
    <row r="338" spans="1:7" x14ac:dyDescent="0.25">
      <c r="A338" s="118">
        <f>SUBTOTAL(3,$B$6:B338)</f>
        <v>333</v>
      </c>
      <c r="B338" s="118" t="s">
        <v>1232</v>
      </c>
      <c r="C338" s="118" t="s">
        <v>1233</v>
      </c>
      <c r="D338" s="118" t="s">
        <v>641</v>
      </c>
      <c r="E338" s="119">
        <v>1756</v>
      </c>
      <c r="F338" s="118">
        <v>34</v>
      </c>
      <c r="G338" s="120">
        <v>40227</v>
      </c>
    </row>
    <row r="339" spans="1:7" x14ac:dyDescent="0.25">
      <c r="A339" s="118">
        <f>SUBTOTAL(3,$B$6:B339)</f>
        <v>334</v>
      </c>
      <c r="B339" s="118" t="s">
        <v>1234</v>
      </c>
      <c r="C339" s="118" t="s">
        <v>1235</v>
      </c>
      <c r="D339" s="118" t="s">
        <v>661</v>
      </c>
      <c r="E339" s="119">
        <v>1753</v>
      </c>
      <c r="F339" s="118">
        <v>41</v>
      </c>
      <c r="G339" s="120">
        <v>40347</v>
      </c>
    </row>
    <row r="340" spans="1:7" x14ac:dyDescent="0.25">
      <c r="A340" s="118">
        <f>SUBTOTAL(3,$B$6:B340)</f>
        <v>335</v>
      </c>
      <c r="B340" s="118" t="s">
        <v>1236</v>
      </c>
      <c r="C340" s="118" t="s">
        <v>1237</v>
      </c>
      <c r="D340" s="118" t="s">
        <v>711</v>
      </c>
      <c r="E340" s="119">
        <v>1746</v>
      </c>
      <c r="F340" s="118">
        <v>47</v>
      </c>
      <c r="G340" s="120">
        <v>38546</v>
      </c>
    </row>
    <row r="341" spans="1:7" x14ac:dyDescent="0.25">
      <c r="A341" s="118">
        <f>SUBTOTAL(3,$B$6:B341)</f>
        <v>336</v>
      </c>
      <c r="B341" s="118" t="s">
        <v>1238</v>
      </c>
      <c r="C341" s="118" t="s">
        <v>1239</v>
      </c>
      <c r="D341" s="118" t="s">
        <v>711</v>
      </c>
      <c r="E341" s="119">
        <v>1743</v>
      </c>
      <c r="F341" s="118">
        <v>42</v>
      </c>
      <c r="G341" s="120">
        <v>40256</v>
      </c>
    </row>
    <row r="342" spans="1:7" x14ac:dyDescent="0.25">
      <c r="A342" s="118">
        <f>SUBTOTAL(3,$B$6:B342)</f>
        <v>337</v>
      </c>
      <c r="B342" s="118" t="s">
        <v>1240</v>
      </c>
      <c r="C342" s="118" t="s">
        <v>1241</v>
      </c>
      <c r="D342" s="118" t="s">
        <v>561</v>
      </c>
      <c r="E342" s="119">
        <v>1743</v>
      </c>
      <c r="F342" s="118">
        <v>31</v>
      </c>
      <c r="G342" s="120">
        <v>40400</v>
      </c>
    </row>
    <row r="343" spans="1:7" x14ac:dyDescent="0.25">
      <c r="A343" s="118">
        <f>SUBTOTAL(3,$B$6:B343)</f>
        <v>338</v>
      </c>
      <c r="B343" s="118" t="s">
        <v>1242</v>
      </c>
      <c r="C343" s="118" t="s">
        <v>1243</v>
      </c>
      <c r="D343" s="118" t="s">
        <v>561</v>
      </c>
      <c r="E343" s="119">
        <v>1733</v>
      </c>
      <c r="F343" s="118">
        <v>48</v>
      </c>
      <c r="G343" s="120">
        <v>39912</v>
      </c>
    </row>
    <row r="344" spans="1:7" x14ac:dyDescent="0.25">
      <c r="A344" s="118">
        <f>SUBTOTAL(3,$B$6:B344)</f>
        <v>339</v>
      </c>
      <c r="B344" s="118" t="s">
        <v>1244</v>
      </c>
      <c r="C344" s="118" t="s">
        <v>1245</v>
      </c>
      <c r="D344" s="118" t="s">
        <v>561</v>
      </c>
      <c r="E344" s="119">
        <v>1729</v>
      </c>
      <c r="F344" s="118">
        <v>51</v>
      </c>
      <c r="G344" s="120">
        <v>38868</v>
      </c>
    </row>
    <row r="345" spans="1:7" x14ac:dyDescent="0.25">
      <c r="A345" s="118">
        <f>SUBTOTAL(3,$B$6:B345)</f>
        <v>340</v>
      </c>
      <c r="B345" s="118" t="s">
        <v>1246</v>
      </c>
      <c r="C345" s="118" t="s">
        <v>1247</v>
      </c>
      <c r="D345" s="118" t="s">
        <v>549</v>
      </c>
      <c r="E345" s="119">
        <v>1728</v>
      </c>
      <c r="F345" s="118">
        <v>40</v>
      </c>
      <c r="G345" s="120">
        <v>40416</v>
      </c>
    </row>
    <row r="346" spans="1:7" x14ac:dyDescent="0.25">
      <c r="A346" s="118">
        <f>SUBTOTAL(3,$B$6:B346)</f>
        <v>341</v>
      </c>
      <c r="B346" s="118" t="s">
        <v>1248</v>
      </c>
      <c r="C346" s="118" t="s">
        <v>1249</v>
      </c>
      <c r="D346" s="118" t="s">
        <v>600</v>
      </c>
      <c r="E346" s="119">
        <v>1722</v>
      </c>
      <c r="F346" s="118">
        <v>38</v>
      </c>
      <c r="G346" s="120">
        <v>40519</v>
      </c>
    </row>
    <row r="347" spans="1:7" x14ac:dyDescent="0.25">
      <c r="A347" s="118">
        <f>SUBTOTAL(3,$B$6:B347)</f>
        <v>342</v>
      </c>
      <c r="B347" s="118" t="s">
        <v>1250</v>
      </c>
      <c r="C347" s="118" t="s">
        <v>1251</v>
      </c>
      <c r="D347" s="118" t="s">
        <v>572</v>
      </c>
      <c r="E347" s="119">
        <v>1722</v>
      </c>
      <c r="F347" s="118">
        <v>44</v>
      </c>
      <c r="G347" s="120">
        <v>40116</v>
      </c>
    </row>
    <row r="348" spans="1:7" x14ac:dyDescent="0.25">
      <c r="A348" s="118">
        <f>SUBTOTAL(3,$B$6:B348)</f>
        <v>343</v>
      </c>
      <c r="B348" s="118" t="s">
        <v>1252</v>
      </c>
      <c r="C348" s="118" t="s">
        <v>1253</v>
      </c>
      <c r="D348" s="118" t="s">
        <v>597</v>
      </c>
      <c r="E348" s="119">
        <v>1722</v>
      </c>
      <c r="F348" s="118">
        <v>37</v>
      </c>
      <c r="G348" s="120">
        <v>40569</v>
      </c>
    </row>
    <row r="349" spans="1:7" x14ac:dyDescent="0.25">
      <c r="A349" s="118">
        <f>SUBTOTAL(3,$B$6:B349)</f>
        <v>344</v>
      </c>
      <c r="B349" s="118" t="s">
        <v>1254</v>
      </c>
      <c r="C349" s="118" t="s">
        <v>1255</v>
      </c>
      <c r="D349" s="118" t="s">
        <v>540</v>
      </c>
      <c r="E349" s="119">
        <v>1722</v>
      </c>
      <c r="F349" s="118">
        <v>48</v>
      </c>
      <c r="G349" s="120">
        <v>39937</v>
      </c>
    </row>
    <row r="350" spans="1:7" x14ac:dyDescent="0.25">
      <c r="A350" s="118">
        <f>SUBTOTAL(3,$B$6:B350)</f>
        <v>345</v>
      </c>
      <c r="B350" s="118" t="s">
        <v>1256</v>
      </c>
      <c r="C350" s="118" t="s">
        <v>1257</v>
      </c>
      <c r="D350" s="118" t="s">
        <v>564</v>
      </c>
      <c r="E350" s="119">
        <v>1714</v>
      </c>
      <c r="F350" s="118">
        <v>44</v>
      </c>
      <c r="G350" s="120">
        <v>40122</v>
      </c>
    </row>
    <row r="351" spans="1:7" x14ac:dyDescent="0.25">
      <c r="A351" s="118">
        <f>SUBTOTAL(3,$B$6:B351)</f>
        <v>346</v>
      </c>
      <c r="B351" s="118" t="s">
        <v>1258</v>
      </c>
      <c r="C351" s="118" t="s">
        <v>1259</v>
      </c>
      <c r="D351" s="118" t="s">
        <v>623</v>
      </c>
      <c r="E351" s="119">
        <v>1712</v>
      </c>
      <c r="F351" s="118">
        <v>46</v>
      </c>
      <c r="G351" s="120">
        <v>40021</v>
      </c>
    </row>
    <row r="352" spans="1:7" x14ac:dyDescent="0.25">
      <c r="A352" s="118">
        <f>SUBTOTAL(3,$B$6:B352)</f>
        <v>347</v>
      </c>
      <c r="B352" s="118" t="s">
        <v>1260</v>
      </c>
      <c r="C352" s="118" t="s">
        <v>1261</v>
      </c>
      <c r="D352" s="118" t="s">
        <v>558</v>
      </c>
      <c r="E352" s="119">
        <v>1704</v>
      </c>
      <c r="F352" s="118">
        <v>25</v>
      </c>
      <c r="G352" s="120">
        <v>43437</v>
      </c>
    </row>
    <row r="353" spans="1:7" x14ac:dyDescent="0.25">
      <c r="A353" s="118">
        <f>SUBTOTAL(3,$B$6:B353)</f>
        <v>348</v>
      </c>
      <c r="B353" s="118" t="s">
        <v>1262</v>
      </c>
      <c r="C353" s="118" t="s">
        <v>1263</v>
      </c>
      <c r="D353" s="118" t="s">
        <v>564</v>
      </c>
      <c r="E353" s="119">
        <v>1700</v>
      </c>
      <c r="F353" s="118">
        <v>51</v>
      </c>
      <c r="G353" s="120">
        <v>38852</v>
      </c>
    </row>
    <row r="354" spans="1:7" x14ac:dyDescent="0.25">
      <c r="A354" s="118">
        <f>SUBTOTAL(3,$B$6:B354)</f>
        <v>349</v>
      </c>
      <c r="B354" s="118" t="s">
        <v>1264</v>
      </c>
      <c r="C354" s="118" t="s">
        <v>1265</v>
      </c>
      <c r="D354" s="118" t="s">
        <v>623</v>
      </c>
      <c r="E354" s="119">
        <v>1698</v>
      </c>
      <c r="F354" s="118">
        <v>35</v>
      </c>
      <c r="G354" s="120">
        <v>40675</v>
      </c>
    </row>
    <row r="355" spans="1:7" x14ac:dyDescent="0.25">
      <c r="A355" s="118">
        <f>SUBTOTAL(3,$B$6:B355)</f>
        <v>350</v>
      </c>
      <c r="B355" s="118" t="s">
        <v>1266</v>
      </c>
      <c r="C355" s="118" t="s">
        <v>1267</v>
      </c>
      <c r="D355" s="118" t="s">
        <v>561</v>
      </c>
      <c r="E355" s="119">
        <v>1695</v>
      </c>
      <c r="F355" s="118">
        <v>48</v>
      </c>
      <c r="G355" s="120">
        <v>39926</v>
      </c>
    </row>
    <row r="356" spans="1:7" x14ac:dyDescent="0.25">
      <c r="A356" s="118">
        <f>SUBTOTAL(3,$B$6:B356)</f>
        <v>351</v>
      </c>
      <c r="B356" s="118" t="s">
        <v>1268</v>
      </c>
      <c r="C356" s="118" t="s">
        <v>1269</v>
      </c>
      <c r="D356" s="118" t="s">
        <v>540</v>
      </c>
      <c r="E356" s="119">
        <v>1689</v>
      </c>
      <c r="F356" s="118">
        <v>49</v>
      </c>
      <c r="G356" s="120">
        <v>39874</v>
      </c>
    </row>
    <row r="357" spans="1:7" x14ac:dyDescent="0.25">
      <c r="A357" s="118">
        <f>SUBTOTAL(3,$B$6:B357)</f>
        <v>352</v>
      </c>
      <c r="B357" s="118" t="s">
        <v>1270</v>
      </c>
      <c r="C357" s="118" t="s">
        <v>1271</v>
      </c>
      <c r="D357" s="118" t="s">
        <v>561</v>
      </c>
      <c r="E357" s="119">
        <v>1688</v>
      </c>
      <c r="F357" s="118">
        <v>41</v>
      </c>
      <c r="G357" s="120">
        <v>40330</v>
      </c>
    </row>
    <row r="358" spans="1:7" x14ac:dyDescent="0.25">
      <c r="A358" s="118">
        <f>SUBTOTAL(3,$B$6:B358)</f>
        <v>353</v>
      </c>
      <c r="B358" s="118" t="s">
        <v>1272</v>
      </c>
      <c r="C358" s="118" t="s">
        <v>1273</v>
      </c>
      <c r="D358" s="118" t="s">
        <v>540</v>
      </c>
      <c r="E358" s="119">
        <v>1688</v>
      </c>
      <c r="F358" s="118">
        <v>44</v>
      </c>
      <c r="G358" s="120">
        <v>40129</v>
      </c>
    </row>
    <row r="359" spans="1:7" x14ac:dyDescent="0.25">
      <c r="A359" s="118">
        <f>SUBTOTAL(3,$B$6:B359)</f>
        <v>354</v>
      </c>
      <c r="B359" s="118" t="s">
        <v>1274</v>
      </c>
      <c r="C359" s="118" t="s">
        <v>1275</v>
      </c>
      <c r="D359" s="118" t="s">
        <v>620</v>
      </c>
      <c r="E359" s="119">
        <v>1686</v>
      </c>
      <c r="F359" s="118">
        <v>48</v>
      </c>
      <c r="G359" s="120">
        <v>39925</v>
      </c>
    </row>
    <row r="360" spans="1:7" x14ac:dyDescent="0.25">
      <c r="A360" s="118">
        <f>SUBTOTAL(3,$B$6:B360)</f>
        <v>355</v>
      </c>
      <c r="B360" s="118" t="s">
        <v>1276</v>
      </c>
      <c r="C360" s="118" t="s">
        <v>1277</v>
      </c>
      <c r="D360" s="118" t="s">
        <v>641</v>
      </c>
      <c r="E360" s="119">
        <v>1684</v>
      </c>
      <c r="F360" s="118">
        <v>48</v>
      </c>
      <c r="G360" s="120">
        <v>39899</v>
      </c>
    </row>
    <row r="361" spans="1:7" x14ac:dyDescent="0.25">
      <c r="A361" s="118">
        <f>SUBTOTAL(3,$B$6:B361)</f>
        <v>356</v>
      </c>
      <c r="B361" s="118" t="s">
        <v>1278</v>
      </c>
      <c r="C361" s="118" t="s">
        <v>1279</v>
      </c>
      <c r="D361" s="118" t="s">
        <v>561</v>
      </c>
      <c r="E361" s="119">
        <v>1684</v>
      </c>
      <c r="F361" s="118">
        <v>39</v>
      </c>
      <c r="G361" s="120">
        <v>40451</v>
      </c>
    </row>
    <row r="362" spans="1:7" x14ac:dyDescent="0.25">
      <c r="A362" s="118">
        <f>SUBTOTAL(3,$B$6:B362)</f>
        <v>357</v>
      </c>
      <c r="B362" s="118" t="s">
        <v>1280</v>
      </c>
      <c r="C362" s="118" t="s">
        <v>1281</v>
      </c>
      <c r="D362" s="118" t="s">
        <v>636</v>
      </c>
      <c r="E362" s="119">
        <v>1675</v>
      </c>
      <c r="F362" s="118">
        <v>46</v>
      </c>
      <c r="G362" s="120">
        <v>40044</v>
      </c>
    </row>
    <row r="363" spans="1:7" x14ac:dyDescent="0.25">
      <c r="A363" s="118">
        <f>SUBTOTAL(3,$B$6:B363)</f>
        <v>358</v>
      </c>
      <c r="B363" s="118" t="s">
        <v>1282</v>
      </c>
      <c r="C363" s="118" t="s">
        <v>1283</v>
      </c>
      <c r="D363" s="118" t="s">
        <v>734</v>
      </c>
      <c r="E363" s="119">
        <v>1673</v>
      </c>
      <c r="F363" s="118">
        <v>32</v>
      </c>
      <c r="G363" s="120">
        <v>40365</v>
      </c>
    </row>
    <row r="364" spans="1:7" x14ac:dyDescent="0.25">
      <c r="A364" s="118">
        <f>SUBTOTAL(3,$B$6:B364)</f>
        <v>359</v>
      </c>
      <c r="B364" s="118" t="s">
        <v>1284</v>
      </c>
      <c r="C364" s="118" t="s">
        <v>1285</v>
      </c>
      <c r="D364" s="118" t="s">
        <v>901</v>
      </c>
      <c r="E364" s="119">
        <v>1672</v>
      </c>
      <c r="F364" s="118">
        <v>41</v>
      </c>
      <c r="G364" s="120">
        <v>40358</v>
      </c>
    </row>
    <row r="365" spans="1:7" x14ac:dyDescent="0.25">
      <c r="A365" s="118">
        <f>SUBTOTAL(3,$B$6:B365)</f>
        <v>360</v>
      </c>
      <c r="B365" s="118" t="s">
        <v>1286</v>
      </c>
      <c r="C365" s="118" t="s">
        <v>1287</v>
      </c>
      <c r="D365" s="118" t="s">
        <v>561</v>
      </c>
      <c r="E365" s="119">
        <v>1670</v>
      </c>
      <c r="F365" s="118">
        <v>49</v>
      </c>
      <c r="G365" s="120">
        <v>39862</v>
      </c>
    </row>
    <row r="366" spans="1:7" x14ac:dyDescent="0.25">
      <c r="A366" s="118">
        <f>SUBTOTAL(3,$B$6:B366)</f>
        <v>361</v>
      </c>
      <c r="B366" s="118" t="s">
        <v>1288</v>
      </c>
      <c r="C366" s="118" t="s">
        <v>1289</v>
      </c>
      <c r="D366" s="118" t="s">
        <v>591</v>
      </c>
      <c r="E366" s="119">
        <v>1669</v>
      </c>
      <c r="F366" s="118">
        <v>38</v>
      </c>
      <c r="G366" s="120">
        <v>40528</v>
      </c>
    </row>
    <row r="367" spans="1:7" x14ac:dyDescent="0.25">
      <c r="A367" s="118">
        <f>SUBTOTAL(3,$B$6:B367)</f>
        <v>362</v>
      </c>
      <c r="B367" s="118" t="s">
        <v>1290</v>
      </c>
      <c r="C367" s="118" t="s">
        <v>1291</v>
      </c>
      <c r="D367" s="118" t="s">
        <v>564</v>
      </c>
      <c r="E367" s="119">
        <v>1669</v>
      </c>
      <c r="F367" s="118">
        <v>32</v>
      </c>
      <c r="G367" s="120">
        <v>40375</v>
      </c>
    </row>
    <row r="368" spans="1:7" x14ac:dyDescent="0.25">
      <c r="A368" s="118">
        <f>SUBTOTAL(3,$B$6:B368)</f>
        <v>363</v>
      </c>
      <c r="B368" s="118" t="s">
        <v>1292</v>
      </c>
      <c r="C368" s="118" t="s">
        <v>1293</v>
      </c>
      <c r="D368" s="118" t="s">
        <v>540</v>
      </c>
      <c r="E368" s="119">
        <v>1668</v>
      </c>
      <c r="F368" s="118">
        <v>28</v>
      </c>
      <c r="G368" s="120">
        <v>43236</v>
      </c>
    </row>
    <row r="369" spans="1:7" x14ac:dyDescent="0.25">
      <c r="A369" s="118">
        <f>SUBTOTAL(3,$B$6:B369)</f>
        <v>364</v>
      </c>
      <c r="B369" s="118" t="s">
        <v>1294</v>
      </c>
      <c r="C369" s="118" t="s">
        <v>1295</v>
      </c>
      <c r="D369" s="118" t="s">
        <v>620</v>
      </c>
      <c r="E369" s="119">
        <v>1667</v>
      </c>
      <c r="F369" s="118">
        <v>44</v>
      </c>
      <c r="G369" s="120">
        <v>40147</v>
      </c>
    </row>
    <row r="370" spans="1:7" x14ac:dyDescent="0.25">
      <c r="A370" s="118">
        <f>SUBTOTAL(3,$B$6:B370)</f>
        <v>365</v>
      </c>
      <c r="B370" s="118" t="s">
        <v>1296</v>
      </c>
      <c r="C370" s="118" t="s">
        <v>1297</v>
      </c>
      <c r="D370" s="118" t="s">
        <v>561</v>
      </c>
      <c r="E370" s="119">
        <v>1661</v>
      </c>
      <c r="F370" s="118">
        <v>29</v>
      </c>
      <c r="G370" s="120">
        <v>43150</v>
      </c>
    </row>
    <row r="371" spans="1:7" x14ac:dyDescent="0.25">
      <c r="A371" s="118">
        <f>SUBTOTAL(3,$B$6:B371)</f>
        <v>366</v>
      </c>
      <c r="B371" s="118" t="s">
        <v>1298</v>
      </c>
      <c r="C371" s="118" t="s">
        <v>1299</v>
      </c>
      <c r="D371" s="118" t="s">
        <v>661</v>
      </c>
      <c r="E371" s="119">
        <v>1661</v>
      </c>
      <c r="F371" s="118">
        <v>47</v>
      </c>
      <c r="G371" s="120">
        <v>39982</v>
      </c>
    </row>
    <row r="372" spans="1:7" x14ac:dyDescent="0.25">
      <c r="A372" s="118">
        <f>SUBTOTAL(3,$B$6:B372)</f>
        <v>367</v>
      </c>
      <c r="B372" s="118" t="s">
        <v>1300</v>
      </c>
      <c r="C372" s="118" t="s">
        <v>1301</v>
      </c>
      <c r="D372" s="118" t="s">
        <v>561</v>
      </c>
      <c r="E372" s="119">
        <v>1661</v>
      </c>
      <c r="F372" s="118">
        <v>26</v>
      </c>
      <c r="G372" s="120">
        <v>43355</v>
      </c>
    </row>
    <row r="373" spans="1:7" x14ac:dyDescent="0.25">
      <c r="A373" s="118">
        <f>SUBTOTAL(3,$B$6:B373)</f>
        <v>368</v>
      </c>
      <c r="B373" s="118" t="s">
        <v>1302</v>
      </c>
      <c r="C373" s="118" t="s">
        <v>1303</v>
      </c>
      <c r="D373" s="118" t="s">
        <v>591</v>
      </c>
      <c r="E373" s="119">
        <v>1657</v>
      </c>
      <c r="F373" s="118">
        <v>48</v>
      </c>
      <c r="G373" s="120">
        <v>39911</v>
      </c>
    </row>
    <row r="374" spans="1:7" x14ac:dyDescent="0.25">
      <c r="A374" s="118">
        <f>SUBTOTAL(3,$B$6:B374)</f>
        <v>369</v>
      </c>
      <c r="B374" s="118" t="s">
        <v>1304</v>
      </c>
      <c r="C374" s="118" t="s">
        <v>1305</v>
      </c>
      <c r="D374" s="118" t="s">
        <v>549</v>
      </c>
      <c r="E374" s="119">
        <v>1647</v>
      </c>
      <c r="F374" s="118">
        <v>51</v>
      </c>
      <c r="G374" s="120">
        <v>38887</v>
      </c>
    </row>
    <row r="375" spans="1:7" x14ac:dyDescent="0.25">
      <c r="A375" s="118">
        <f>SUBTOTAL(3,$B$6:B375)</f>
        <v>370</v>
      </c>
      <c r="B375" s="118" t="s">
        <v>1306</v>
      </c>
      <c r="C375" s="118" t="s">
        <v>1307</v>
      </c>
      <c r="D375" s="118" t="s">
        <v>558</v>
      </c>
      <c r="E375" s="119">
        <v>1646</v>
      </c>
      <c r="F375" s="118">
        <v>43</v>
      </c>
      <c r="G375" s="120">
        <v>43905</v>
      </c>
    </row>
    <row r="376" spans="1:7" x14ac:dyDescent="0.25">
      <c r="A376" s="118">
        <f>SUBTOTAL(3,$B$6:B376)</f>
        <v>371</v>
      </c>
      <c r="B376" s="118" t="s">
        <v>1308</v>
      </c>
      <c r="C376" s="118" t="s">
        <v>1309</v>
      </c>
      <c r="D376" s="118" t="s">
        <v>594</v>
      </c>
      <c r="E376" s="119">
        <v>1645</v>
      </c>
      <c r="F376" s="118">
        <v>49</v>
      </c>
      <c r="G376" s="120">
        <v>39877</v>
      </c>
    </row>
    <row r="377" spans="1:7" x14ac:dyDescent="0.25">
      <c r="A377" s="118">
        <f>SUBTOTAL(3,$B$6:B377)</f>
        <v>372</v>
      </c>
      <c r="B377" s="118" t="s">
        <v>1310</v>
      </c>
      <c r="C377" s="118" t="s">
        <v>1311</v>
      </c>
      <c r="D377" s="118" t="s">
        <v>552</v>
      </c>
      <c r="E377" s="119">
        <v>1635</v>
      </c>
      <c r="F377" s="118">
        <v>44</v>
      </c>
      <c r="G377" s="120">
        <v>40157</v>
      </c>
    </row>
    <row r="378" spans="1:7" x14ac:dyDescent="0.25">
      <c r="A378" s="118">
        <f>SUBTOTAL(3,$B$6:B378)</f>
        <v>373</v>
      </c>
      <c r="B378" s="118" t="s">
        <v>1312</v>
      </c>
      <c r="C378" s="118" t="s">
        <v>1313</v>
      </c>
      <c r="D378" s="118" t="s">
        <v>561</v>
      </c>
      <c r="E378" s="119">
        <v>1633</v>
      </c>
      <c r="F378" s="118">
        <v>40</v>
      </c>
      <c r="G378" s="120">
        <v>40430</v>
      </c>
    </row>
    <row r="379" spans="1:7" x14ac:dyDescent="0.25">
      <c r="A379" s="118">
        <f>SUBTOTAL(3,$B$6:B379)</f>
        <v>374</v>
      </c>
      <c r="B379" s="118" t="s">
        <v>1314</v>
      </c>
      <c r="C379" s="118" t="s">
        <v>1315</v>
      </c>
      <c r="D379" s="118" t="s">
        <v>654</v>
      </c>
      <c r="E379" s="119">
        <v>1630</v>
      </c>
      <c r="F379" s="118">
        <v>26</v>
      </c>
      <c r="G379" s="120">
        <v>43370</v>
      </c>
    </row>
    <row r="380" spans="1:7" x14ac:dyDescent="0.25">
      <c r="A380" s="118">
        <f>SUBTOTAL(3,$B$6:B380)</f>
        <v>375</v>
      </c>
      <c r="B380" s="118" t="s">
        <v>1316</v>
      </c>
      <c r="C380" s="118" t="s">
        <v>1317</v>
      </c>
      <c r="D380" s="118" t="s">
        <v>558</v>
      </c>
      <c r="E380" s="119">
        <v>1628</v>
      </c>
      <c r="F380" s="118">
        <v>22</v>
      </c>
      <c r="G380" s="120">
        <v>43607</v>
      </c>
    </row>
    <row r="381" spans="1:7" x14ac:dyDescent="0.25">
      <c r="A381" s="118">
        <f>SUBTOTAL(3,$B$6:B381)</f>
        <v>376</v>
      </c>
      <c r="B381" s="118" t="s">
        <v>1318</v>
      </c>
      <c r="C381" s="118" t="s">
        <v>1319</v>
      </c>
      <c r="D381" s="118" t="s">
        <v>641</v>
      </c>
      <c r="E381" s="119">
        <v>1627</v>
      </c>
      <c r="F381" s="118">
        <v>50</v>
      </c>
      <c r="G381" s="120">
        <v>38915</v>
      </c>
    </row>
    <row r="382" spans="1:7" x14ac:dyDescent="0.25">
      <c r="A382" s="118">
        <f>SUBTOTAL(3,$B$6:B382)</f>
        <v>377</v>
      </c>
      <c r="B382" s="118" t="s">
        <v>1320</v>
      </c>
      <c r="C382" s="118" t="s">
        <v>1321</v>
      </c>
      <c r="D382" s="118" t="s">
        <v>564</v>
      </c>
      <c r="E382" s="119">
        <v>1619</v>
      </c>
      <c r="F382" s="118">
        <v>39</v>
      </c>
      <c r="G382" s="120">
        <v>43983</v>
      </c>
    </row>
    <row r="383" spans="1:7" x14ac:dyDescent="0.25">
      <c r="A383" s="118">
        <f>SUBTOTAL(3,$B$6:B383)</f>
        <v>378</v>
      </c>
      <c r="B383" s="118" t="s">
        <v>1322</v>
      </c>
      <c r="C383" s="118" t="s">
        <v>1323</v>
      </c>
      <c r="D383" s="118" t="s">
        <v>540</v>
      </c>
      <c r="E383" s="119">
        <v>1616</v>
      </c>
      <c r="F383" s="118">
        <v>42</v>
      </c>
      <c r="G383" s="120">
        <v>40290</v>
      </c>
    </row>
    <row r="384" spans="1:7" x14ac:dyDescent="0.25">
      <c r="A384" s="118">
        <f>SUBTOTAL(3,$B$6:B384)</f>
        <v>379</v>
      </c>
      <c r="B384" s="118" t="s">
        <v>1324</v>
      </c>
      <c r="C384" s="118" t="s">
        <v>1325</v>
      </c>
      <c r="D384" s="118" t="s">
        <v>641</v>
      </c>
      <c r="E384" s="119">
        <v>1613</v>
      </c>
      <c r="F384" s="118">
        <v>51</v>
      </c>
      <c r="G384" s="120">
        <v>38849</v>
      </c>
    </row>
    <row r="385" spans="1:7" x14ac:dyDescent="0.25">
      <c r="A385" s="118">
        <f>SUBTOTAL(3,$B$6:B385)</f>
        <v>380</v>
      </c>
      <c r="B385" s="118" t="s">
        <v>1326</v>
      </c>
      <c r="C385" s="118" t="s">
        <v>1327</v>
      </c>
      <c r="D385" s="118" t="s">
        <v>734</v>
      </c>
      <c r="E385" s="119">
        <v>1612</v>
      </c>
      <c r="F385" s="118">
        <v>36</v>
      </c>
      <c r="G385" s="120">
        <v>40660</v>
      </c>
    </row>
    <row r="386" spans="1:7" x14ac:dyDescent="0.25">
      <c r="A386" s="118">
        <f>SUBTOTAL(3,$B$6:B386)</f>
        <v>381</v>
      </c>
      <c r="B386" s="118" t="s">
        <v>1328</v>
      </c>
      <c r="C386" s="118" t="s">
        <v>1329</v>
      </c>
      <c r="D386" s="118" t="s">
        <v>620</v>
      </c>
      <c r="E386" s="119">
        <v>1605</v>
      </c>
      <c r="F386" s="118">
        <v>39</v>
      </c>
      <c r="G386" s="120">
        <v>40479</v>
      </c>
    </row>
    <row r="387" spans="1:7" x14ac:dyDescent="0.25">
      <c r="A387" s="118">
        <f>SUBTOTAL(3,$B$6:B387)</f>
        <v>382</v>
      </c>
      <c r="B387" s="118" t="s">
        <v>1330</v>
      </c>
      <c r="C387" s="118" t="s">
        <v>1331</v>
      </c>
      <c r="D387" s="118" t="s">
        <v>1332</v>
      </c>
      <c r="E387" s="119">
        <v>1605</v>
      </c>
      <c r="F387" s="118">
        <v>21</v>
      </c>
      <c r="G387" s="120">
        <v>43637</v>
      </c>
    </row>
    <row r="388" spans="1:7" x14ac:dyDescent="0.25">
      <c r="A388" s="118">
        <f>SUBTOTAL(3,$B$6:B388)</f>
        <v>383</v>
      </c>
      <c r="B388" s="118" t="s">
        <v>1333</v>
      </c>
      <c r="C388" s="118" t="s">
        <v>1334</v>
      </c>
      <c r="D388" s="118" t="s">
        <v>641</v>
      </c>
      <c r="E388" s="119">
        <v>1603</v>
      </c>
      <c r="F388" s="118">
        <v>30</v>
      </c>
      <c r="G388" s="120">
        <v>43105</v>
      </c>
    </row>
    <row r="389" spans="1:7" x14ac:dyDescent="0.25">
      <c r="A389" s="118">
        <f>SUBTOTAL(3,$B$6:B389)</f>
        <v>384</v>
      </c>
      <c r="B389" s="118" t="s">
        <v>1335</v>
      </c>
      <c r="C389" s="118" t="s">
        <v>1336</v>
      </c>
      <c r="D389" s="118" t="s">
        <v>540</v>
      </c>
      <c r="E389" s="119">
        <v>1600</v>
      </c>
      <c r="F389" s="118">
        <v>37</v>
      </c>
      <c r="G389" s="120">
        <v>40567</v>
      </c>
    </row>
    <row r="390" spans="1:7" x14ac:dyDescent="0.25">
      <c r="A390" s="118">
        <f>SUBTOTAL(3,$B$6:B390)</f>
        <v>385</v>
      </c>
      <c r="B390" s="118" t="s">
        <v>1337</v>
      </c>
      <c r="C390" s="118" t="s">
        <v>1338</v>
      </c>
      <c r="D390" s="118" t="s">
        <v>561</v>
      </c>
      <c r="E390" s="119">
        <v>1600</v>
      </c>
      <c r="F390" s="118">
        <v>34</v>
      </c>
      <c r="G390" s="120">
        <v>40270</v>
      </c>
    </row>
    <row r="391" spans="1:7" x14ac:dyDescent="0.25">
      <c r="A391" s="118">
        <f>SUBTOTAL(3,$B$6:B391)</f>
        <v>386</v>
      </c>
      <c r="B391" s="118" t="s">
        <v>1339</v>
      </c>
      <c r="C391" s="118" t="s">
        <v>1340</v>
      </c>
      <c r="D391" s="118" t="s">
        <v>555</v>
      </c>
      <c r="E391" s="119">
        <v>1599</v>
      </c>
      <c r="F391" s="118">
        <v>29</v>
      </c>
      <c r="G391" s="120">
        <v>43143</v>
      </c>
    </row>
    <row r="392" spans="1:7" x14ac:dyDescent="0.25">
      <c r="A392" s="118">
        <f>SUBTOTAL(3,$B$6:B392)</f>
        <v>387</v>
      </c>
      <c r="B392" s="118" t="s">
        <v>1341</v>
      </c>
      <c r="C392" s="118" t="s">
        <v>1342</v>
      </c>
      <c r="D392" s="118" t="s">
        <v>564</v>
      </c>
      <c r="E392" s="119">
        <v>1598</v>
      </c>
      <c r="F392" s="118">
        <v>29</v>
      </c>
      <c r="G392" s="120">
        <v>43157</v>
      </c>
    </row>
    <row r="393" spans="1:7" x14ac:dyDescent="0.25">
      <c r="A393" s="118">
        <f>SUBTOTAL(3,$B$6:B393)</f>
        <v>388</v>
      </c>
      <c r="B393" s="118" t="s">
        <v>1343</v>
      </c>
      <c r="C393" s="118" t="s">
        <v>1344</v>
      </c>
      <c r="D393" s="118" t="s">
        <v>564</v>
      </c>
      <c r="E393" s="119">
        <v>1597</v>
      </c>
      <c r="F393" s="118">
        <v>29</v>
      </c>
      <c r="G393" s="120">
        <v>43161</v>
      </c>
    </row>
    <row r="394" spans="1:7" x14ac:dyDescent="0.25">
      <c r="A394" s="118">
        <f>SUBTOTAL(3,$B$6:B394)</f>
        <v>389</v>
      </c>
      <c r="B394" s="118" t="s">
        <v>1345</v>
      </c>
      <c r="C394" s="118" t="s">
        <v>1346</v>
      </c>
      <c r="D394" s="118" t="s">
        <v>636</v>
      </c>
      <c r="E394" s="119">
        <v>1596</v>
      </c>
      <c r="F394" s="118">
        <v>51</v>
      </c>
      <c r="G394" s="120">
        <v>38847</v>
      </c>
    </row>
    <row r="395" spans="1:7" x14ac:dyDescent="0.25">
      <c r="A395" s="118">
        <f>SUBTOTAL(3,$B$6:B395)</f>
        <v>390</v>
      </c>
      <c r="B395" s="118" t="s">
        <v>1347</v>
      </c>
      <c r="C395" s="118" t="s">
        <v>1348</v>
      </c>
      <c r="D395" s="118" t="s">
        <v>543</v>
      </c>
      <c r="E395" s="119">
        <v>1586</v>
      </c>
      <c r="F395" s="118">
        <v>41</v>
      </c>
      <c r="G395" s="120">
        <v>40318</v>
      </c>
    </row>
    <row r="396" spans="1:7" x14ac:dyDescent="0.25">
      <c r="A396" s="118">
        <f>SUBTOTAL(3,$B$6:B396)</f>
        <v>391</v>
      </c>
      <c r="B396" s="118" t="s">
        <v>1349</v>
      </c>
      <c r="C396" s="118" t="s">
        <v>1350</v>
      </c>
      <c r="D396" s="118" t="s">
        <v>564</v>
      </c>
      <c r="E396" s="119">
        <v>1582</v>
      </c>
      <c r="F396" s="118">
        <v>38</v>
      </c>
      <c r="G396" s="120">
        <v>40541</v>
      </c>
    </row>
    <row r="397" spans="1:7" x14ac:dyDescent="0.25">
      <c r="A397" s="118">
        <f>SUBTOTAL(3,$B$6:B397)</f>
        <v>392</v>
      </c>
      <c r="B397" s="118" t="s">
        <v>1351</v>
      </c>
      <c r="C397" s="118" t="s">
        <v>1352</v>
      </c>
      <c r="D397" s="118" t="s">
        <v>734</v>
      </c>
      <c r="E397" s="119">
        <v>1580</v>
      </c>
      <c r="F397" s="118">
        <v>37</v>
      </c>
      <c r="G397" s="120">
        <v>40597</v>
      </c>
    </row>
    <row r="398" spans="1:7" x14ac:dyDescent="0.25">
      <c r="A398" s="118">
        <f>SUBTOTAL(3,$B$6:B398)</f>
        <v>393</v>
      </c>
      <c r="B398" s="118" t="s">
        <v>1353</v>
      </c>
      <c r="C398" s="118" t="s">
        <v>1354</v>
      </c>
      <c r="D398" s="118" t="s">
        <v>594</v>
      </c>
      <c r="E398" s="119">
        <v>1578</v>
      </c>
      <c r="F398" s="118">
        <v>47</v>
      </c>
      <c r="G398" s="120">
        <v>40001</v>
      </c>
    </row>
    <row r="399" spans="1:7" x14ac:dyDescent="0.25">
      <c r="A399" s="118">
        <f>SUBTOTAL(3,$B$6:B399)</f>
        <v>394</v>
      </c>
      <c r="B399" s="118" t="s">
        <v>1355</v>
      </c>
      <c r="C399" s="118" t="s">
        <v>1356</v>
      </c>
      <c r="D399" s="118" t="s">
        <v>564</v>
      </c>
      <c r="E399" s="119">
        <v>1577</v>
      </c>
      <c r="F399" s="118">
        <v>23</v>
      </c>
      <c r="G399" s="120">
        <v>43514</v>
      </c>
    </row>
    <row r="400" spans="1:7" x14ac:dyDescent="0.25">
      <c r="A400" s="118">
        <f>SUBTOTAL(3,$B$6:B400)</f>
        <v>395</v>
      </c>
      <c r="B400" s="118" t="s">
        <v>1357</v>
      </c>
      <c r="C400" s="118" t="s">
        <v>1358</v>
      </c>
      <c r="D400" s="118" t="s">
        <v>546</v>
      </c>
      <c r="E400" s="119">
        <v>1573</v>
      </c>
      <c r="F400" s="118">
        <v>40</v>
      </c>
      <c r="G400" s="120">
        <v>40371</v>
      </c>
    </row>
    <row r="401" spans="1:7" x14ac:dyDescent="0.25">
      <c r="A401" s="118">
        <f>SUBTOTAL(3,$B$6:B401)</f>
        <v>396</v>
      </c>
      <c r="B401" s="118" t="s">
        <v>1359</v>
      </c>
      <c r="C401" s="118" t="s">
        <v>1360</v>
      </c>
      <c r="D401" s="118" t="s">
        <v>558</v>
      </c>
      <c r="E401" s="119">
        <v>1566</v>
      </c>
      <c r="F401" s="118">
        <v>21</v>
      </c>
      <c r="G401" s="120">
        <v>43654</v>
      </c>
    </row>
    <row r="402" spans="1:7" x14ac:dyDescent="0.25">
      <c r="A402" s="118">
        <f>SUBTOTAL(3,$B$6:B402)</f>
        <v>397</v>
      </c>
      <c r="B402" s="118" t="s">
        <v>1361</v>
      </c>
      <c r="C402" s="118" t="s">
        <v>1362</v>
      </c>
      <c r="D402" s="118" t="s">
        <v>561</v>
      </c>
      <c r="E402" s="119">
        <v>1561</v>
      </c>
      <c r="F402" s="118">
        <v>33</v>
      </c>
      <c r="G402" s="120">
        <v>40318</v>
      </c>
    </row>
    <row r="403" spans="1:7" x14ac:dyDescent="0.25">
      <c r="A403" s="118">
        <f>SUBTOTAL(3,$B$6:B403)</f>
        <v>398</v>
      </c>
      <c r="B403" s="118" t="s">
        <v>1363</v>
      </c>
      <c r="C403" s="118" t="s">
        <v>1364</v>
      </c>
      <c r="D403" s="118" t="s">
        <v>564</v>
      </c>
      <c r="E403" s="119">
        <v>1554</v>
      </c>
      <c r="F403" s="118">
        <v>45</v>
      </c>
      <c r="G403" s="120">
        <v>40102</v>
      </c>
    </row>
    <row r="404" spans="1:7" x14ac:dyDescent="0.25">
      <c r="A404" s="118">
        <f>SUBTOTAL(3,$B$6:B404)</f>
        <v>399</v>
      </c>
      <c r="B404" s="118" t="s">
        <v>1365</v>
      </c>
      <c r="C404" s="118" t="s">
        <v>1366</v>
      </c>
      <c r="D404" s="118" t="s">
        <v>549</v>
      </c>
      <c r="E404" s="119">
        <v>1550</v>
      </c>
      <c r="F404" s="118">
        <v>39</v>
      </c>
      <c r="G404" s="120">
        <v>40455</v>
      </c>
    </row>
    <row r="405" spans="1:7" x14ac:dyDescent="0.25">
      <c r="A405" s="118">
        <f>SUBTOTAL(3,$B$6:B405)</f>
        <v>400</v>
      </c>
      <c r="B405" s="118" t="s">
        <v>1367</v>
      </c>
      <c r="C405" s="118" t="s">
        <v>1368</v>
      </c>
      <c r="D405" s="118" t="s">
        <v>572</v>
      </c>
      <c r="E405" s="119">
        <v>1545</v>
      </c>
      <c r="F405" s="118">
        <v>50</v>
      </c>
      <c r="G405" s="120">
        <v>38912</v>
      </c>
    </row>
    <row r="406" spans="1:7" x14ac:dyDescent="0.25">
      <c r="A406" s="118">
        <f>SUBTOTAL(3,$B$6:B406)</f>
        <v>401</v>
      </c>
      <c r="B406" s="118" t="s">
        <v>1369</v>
      </c>
      <c r="C406" s="118" t="s">
        <v>1370</v>
      </c>
      <c r="D406" s="118" t="s">
        <v>600</v>
      </c>
      <c r="E406" s="119">
        <v>1545</v>
      </c>
      <c r="F406" s="118">
        <v>45</v>
      </c>
      <c r="G406" s="120">
        <v>40109</v>
      </c>
    </row>
    <row r="407" spans="1:7" x14ac:dyDescent="0.25">
      <c r="A407" s="118">
        <f>SUBTOTAL(3,$B$6:B407)</f>
        <v>402</v>
      </c>
      <c r="B407" s="118" t="s">
        <v>1371</v>
      </c>
      <c r="C407" s="118" t="s">
        <v>1372</v>
      </c>
      <c r="D407" s="118" t="s">
        <v>549</v>
      </c>
      <c r="E407" s="119">
        <v>1544</v>
      </c>
      <c r="F407" s="118">
        <v>45</v>
      </c>
      <c r="G407" s="120">
        <v>40095</v>
      </c>
    </row>
    <row r="408" spans="1:7" x14ac:dyDescent="0.25">
      <c r="A408" s="118">
        <f>SUBTOTAL(3,$B$6:B408)</f>
        <v>403</v>
      </c>
      <c r="B408" s="118" t="s">
        <v>1373</v>
      </c>
      <c r="C408" s="118" t="s">
        <v>1374</v>
      </c>
      <c r="D408" s="118" t="s">
        <v>567</v>
      </c>
      <c r="E408" s="119">
        <v>1542</v>
      </c>
      <c r="F408" s="118">
        <v>33</v>
      </c>
      <c r="G408" s="120">
        <v>40326</v>
      </c>
    </row>
    <row r="409" spans="1:7" x14ac:dyDescent="0.25">
      <c r="A409" s="118">
        <f>SUBTOTAL(3,$B$6:B409)</f>
        <v>404</v>
      </c>
      <c r="B409" s="118" t="s">
        <v>1375</v>
      </c>
      <c r="C409" s="118" t="s">
        <v>1376</v>
      </c>
      <c r="D409" s="118" t="s">
        <v>623</v>
      </c>
      <c r="E409" s="119">
        <v>1537</v>
      </c>
      <c r="F409" s="118">
        <v>50</v>
      </c>
      <c r="G409" s="120">
        <v>38516</v>
      </c>
    </row>
    <row r="410" spans="1:7" x14ac:dyDescent="0.25">
      <c r="A410" s="118">
        <f>SUBTOTAL(3,$B$6:B410)</f>
        <v>405</v>
      </c>
      <c r="B410" s="118" t="s">
        <v>1377</v>
      </c>
      <c r="C410" s="118" t="s">
        <v>1378</v>
      </c>
      <c r="D410" s="118" t="s">
        <v>561</v>
      </c>
      <c r="E410" s="119">
        <v>1537</v>
      </c>
      <c r="F410" s="118">
        <v>38</v>
      </c>
      <c r="G410" s="120">
        <v>40549</v>
      </c>
    </row>
    <row r="411" spans="1:7" x14ac:dyDescent="0.25">
      <c r="A411" s="118">
        <f>SUBTOTAL(3,$B$6:B411)</f>
        <v>406</v>
      </c>
      <c r="B411" s="118" t="s">
        <v>1379</v>
      </c>
      <c r="C411" s="118" t="s">
        <v>1380</v>
      </c>
      <c r="D411" s="118" t="s">
        <v>564</v>
      </c>
      <c r="E411" s="119">
        <v>1534</v>
      </c>
      <c r="F411" s="118">
        <v>40</v>
      </c>
      <c r="G411" s="120">
        <v>40400</v>
      </c>
    </row>
    <row r="412" spans="1:7" x14ac:dyDescent="0.25">
      <c r="A412" s="118">
        <f>SUBTOTAL(3,$B$6:B412)</f>
        <v>407</v>
      </c>
      <c r="B412" s="118" t="s">
        <v>1381</v>
      </c>
      <c r="C412" s="118" t="s">
        <v>1382</v>
      </c>
      <c r="D412" s="118" t="s">
        <v>620</v>
      </c>
      <c r="E412" s="119">
        <v>1523</v>
      </c>
      <c r="F412" s="118">
        <v>34</v>
      </c>
      <c r="G412" s="120">
        <v>40247</v>
      </c>
    </row>
    <row r="413" spans="1:7" x14ac:dyDescent="0.25">
      <c r="A413" s="118">
        <f>SUBTOTAL(3,$B$6:B413)</f>
        <v>408</v>
      </c>
      <c r="B413" s="118" t="s">
        <v>1383</v>
      </c>
      <c r="C413" s="118" t="s">
        <v>1384</v>
      </c>
      <c r="D413" s="118" t="s">
        <v>594</v>
      </c>
      <c r="E413" s="119">
        <v>1521</v>
      </c>
      <c r="F413" s="118">
        <v>44</v>
      </c>
      <c r="G413" s="120">
        <v>40172</v>
      </c>
    </row>
    <row r="414" spans="1:7" x14ac:dyDescent="0.25">
      <c r="A414" s="118">
        <f>SUBTOTAL(3,$B$6:B414)</f>
        <v>409</v>
      </c>
      <c r="B414" s="118" t="s">
        <v>1385</v>
      </c>
      <c r="C414" s="118" t="s">
        <v>1386</v>
      </c>
      <c r="D414" s="118" t="s">
        <v>609</v>
      </c>
      <c r="E414" s="119">
        <v>1509</v>
      </c>
      <c r="F414" s="118">
        <v>39</v>
      </c>
      <c r="G414" s="120">
        <v>40459</v>
      </c>
    </row>
    <row r="415" spans="1:7" x14ac:dyDescent="0.25">
      <c r="A415" s="118">
        <f>SUBTOTAL(3,$B$6:B415)</f>
        <v>410</v>
      </c>
      <c r="B415" s="118" t="s">
        <v>1387</v>
      </c>
      <c r="C415" s="118" t="s">
        <v>1388</v>
      </c>
      <c r="D415" s="118" t="s">
        <v>564</v>
      </c>
      <c r="E415" s="119">
        <v>1508</v>
      </c>
      <c r="F415" s="118">
        <v>48</v>
      </c>
      <c r="G415" s="120">
        <v>39903</v>
      </c>
    </row>
    <row r="416" spans="1:7" x14ac:dyDescent="0.25">
      <c r="A416" s="118">
        <f>SUBTOTAL(3,$B$6:B416)</f>
        <v>411</v>
      </c>
      <c r="B416" s="118" t="s">
        <v>1389</v>
      </c>
      <c r="C416" s="118" t="s">
        <v>1390</v>
      </c>
      <c r="D416" s="118" t="s">
        <v>609</v>
      </c>
      <c r="E416" s="119">
        <v>1506</v>
      </c>
      <c r="F416" s="118">
        <v>45</v>
      </c>
      <c r="G416" s="120">
        <v>40077</v>
      </c>
    </row>
    <row r="417" spans="1:7" x14ac:dyDescent="0.25">
      <c r="A417" s="118">
        <f>SUBTOTAL(3,$B$6:B417)</f>
        <v>412</v>
      </c>
      <c r="B417" s="118" t="s">
        <v>1391</v>
      </c>
      <c r="C417" s="118" t="s">
        <v>1392</v>
      </c>
      <c r="D417" s="118" t="s">
        <v>552</v>
      </c>
      <c r="E417" s="119">
        <v>1505</v>
      </c>
      <c r="F417" s="118">
        <v>27</v>
      </c>
      <c r="G417" s="120">
        <v>43284</v>
      </c>
    </row>
    <row r="418" spans="1:7" x14ac:dyDescent="0.25">
      <c r="A418" s="118">
        <f>SUBTOTAL(3,$B$6:B418)</f>
        <v>413</v>
      </c>
      <c r="B418" s="118" t="s">
        <v>1393</v>
      </c>
      <c r="C418" s="118" t="s">
        <v>1394</v>
      </c>
      <c r="D418" s="118" t="s">
        <v>661</v>
      </c>
      <c r="E418" s="119">
        <v>1505</v>
      </c>
      <c r="F418" s="118">
        <v>51</v>
      </c>
      <c r="G418" s="120">
        <v>38870</v>
      </c>
    </row>
    <row r="419" spans="1:7" x14ac:dyDescent="0.25">
      <c r="A419" s="118">
        <f>SUBTOTAL(3,$B$6:B419)</f>
        <v>414</v>
      </c>
      <c r="B419" s="118" t="s">
        <v>1395</v>
      </c>
      <c r="C419" s="118" t="s">
        <v>1396</v>
      </c>
      <c r="D419" s="118" t="s">
        <v>549</v>
      </c>
      <c r="E419" s="119">
        <v>1500</v>
      </c>
      <c r="F419" s="118">
        <v>22</v>
      </c>
      <c r="G419" s="120">
        <v>43570</v>
      </c>
    </row>
    <row r="420" spans="1:7" x14ac:dyDescent="0.25">
      <c r="A420" s="118">
        <f>SUBTOTAL(3,$B$6:B420)</f>
        <v>415</v>
      </c>
      <c r="B420" s="118" t="s">
        <v>1397</v>
      </c>
      <c r="C420" s="118" t="s">
        <v>1398</v>
      </c>
      <c r="D420" s="118" t="s">
        <v>561</v>
      </c>
      <c r="E420" s="119">
        <v>1500</v>
      </c>
      <c r="F420" s="118">
        <v>39</v>
      </c>
      <c r="G420" s="120">
        <v>40500</v>
      </c>
    </row>
    <row r="421" spans="1:7" x14ac:dyDescent="0.25">
      <c r="A421" s="118">
        <f>SUBTOTAL(3,$B$6:B421)</f>
        <v>416</v>
      </c>
      <c r="B421" s="118" t="s">
        <v>1399</v>
      </c>
      <c r="C421" s="118" t="s">
        <v>1400</v>
      </c>
      <c r="D421" s="118" t="s">
        <v>564</v>
      </c>
      <c r="E421" s="119">
        <v>1499</v>
      </c>
      <c r="F421" s="118">
        <v>33</v>
      </c>
      <c r="G421" s="120">
        <v>40304</v>
      </c>
    </row>
    <row r="422" spans="1:7" x14ac:dyDescent="0.25">
      <c r="A422" s="118">
        <f>SUBTOTAL(3,$B$6:B422)</f>
        <v>417</v>
      </c>
      <c r="B422" s="118" t="s">
        <v>1401</v>
      </c>
      <c r="C422" s="118" t="s">
        <v>1402</v>
      </c>
      <c r="D422" s="118" t="s">
        <v>540</v>
      </c>
      <c r="E422" s="119">
        <v>1498</v>
      </c>
      <c r="F422" s="118">
        <v>49</v>
      </c>
      <c r="G422" s="120">
        <v>39835</v>
      </c>
    </row>
    <row r="423" spans="1:7" x14ac:dyDescent="0.25">
      <c r="A423" s="118">
        <f>SUBTOTAL(3,$B$6:B423)</f>
        <v>418</v>
      </c>
      <c r="B423" s="118" t="s">
        <v>1403</v>
      </c>
      <c r="C423" s="118" t="s">
        <v>1404</v>
      </c>
      <c r="D423" s="118" t="s">
        <v>561</v>
      </c>
      <c r="E423" s="119">
        <v>1496</v>
      </c>
      <c r="F423" s="118">
        <v>35</v>
      </c>
      <c r="G423" s="120">
        <v>40213</v>
      </c>
    </row>
    <row r="424" spans="1:7" x14ac:dyDescent="0.25">
      <c r="A424" s="118">
        <f>SUBTOTAL(3,$B$6:B424)</f>
        <v>419</v>
      </c>
      <c r="B424" s="118" t="s">
        <v>1405</v>
      </c>
      <c r="C424" s="118" t="s">
        <v>1406</v>
      </c>
      <c r="D424" s="118" t="s">
        <v>591</v>
      </c>
      <c r="E424" s="119">
        <v>1488</v>
      </c>
      <c r="F424" s="118">
        <v>38</v>
      </c>
      <c r="G424" s="120">
        <v>40527</v>
      </c>
    </row>
    <row r="425" spans="1:7" x14ac:dyDescent="0.25">
      <c r="A425" s="118">
        <f>SUBTOTAL(3,$B$6:B425)</f>
        <v>420</v>
      </c>
      <c r="B425" s="118" t="s">
        <v>1407</v>
      </c>
      <c r="C425" s="118" t="s">
        <v>1408</v>
      </c>
      <c r="D425" s="118" t="s">
        <v>591</v>
      </c>
      <c r="E425" s="119">
        <v>1484</v>
      </c>
      <c r="F425" s="118">
        <v>39</v>
      </c>
      <c r="G425" s="120">
        <v>40458</v>
      </c>
    </row>
    <row r="426" spans="1:7" x14ac:dyDescent="0.25">
      <c r="A426" s="118">
        <f>SUBTOTAL(3,$B$6:B426)</f>
        <v>421</v>
      </c>
      <c r="B426" s="118" t="s">
        <v>1409</v>
      </c>
      <c r="C426" s="118" t="s">
        <v>1410</v>
      </c>
      <c r="D426" s="118" t="s">
        <v>734</v>
      </c>
      <c r="E426" s="119">
        <v>1483</v>
      </c>
      <c r="F426" s="118">
        <v>33</v>
      </c>
      <c r="G426" s="120">
        <v>40310</v>
      </c>
    </row>
    <row r="427" spans="1:7" x14ac:dyDescent="0.25">
      <c r="A427" s="118">
        <f>SUBTOTAL(3,$B$6:B427)</f>
        <v>422</v>
      </c>
      <c r="B427" s="118" t="s">
        <v>1411</v>
      </c>
      <c r="C427" s="118" t="s">
        <v>1412</v>
      </c>
      <c r="D427" s="118" t="s">
        <v>540</v>
      </c>
      <c r="E427" s="119">
        <v>1476</v>
      </c>
      <c r="F427" s="118">
        <v>31</v>
      </c>
      <c r="G427" s="120">
        <v>40445</v>
      </c>
    </row>
    <row r="428" spans="1:7" x14ac:dyDescent="0.25">
      <c r="A428" s="118">
        <f>SUBTOTAL(3,$B$6:B428)</f>
        <v>423</v>
      </c>
      <c r="B428" s="118" t="s">
        <v>1413</v>
      </c>
      <c r="C428" s="118" t="s">
        <v>1414</v>
      </c>
      <c r="D428" s="118" t="s">
        <v>561</v>
      </c>
      <c r="E428" s="119">
        <v>1473</v>
      </c>
      <c r="F428" s="118">
        <v>49</v>
      </c>
      <c r="G428" s="120">
        <v>39848</v>
      </c>
    </row>
    <row r="429" spans="1:7" x14ac:dyDescent="0.25">
      <c r="A429" s="118">
        <f>SUBTOTAL(3,$B$6:B429)</f>
        <v>424</v>
      </c>
      <c r="B429" s="118" t="s">
        <v>1415</v>
      </c>
      <c r="C429" s="118" t="s">
        <v>1416</v>
      </c>
      <c r="D429" s="118" t="s">
        <v>561</v>
      </c>
      <c r="E429" s="119">
        <v>1472</v>
      </c>
      <c r="F429" s="118">
        <v>49</v>
      </c>
      <c r="G429" s="120">
        <v>39847</v>
      </c>
    </row>
    <row r="430" spans="1:7" x14ac:dyDescent="0.25">
      <c r="A430" s="118">
        <f>SUBTOTAL(3,$B$6:B430)</f>
        <v>425</v>
      </c>
      <c r="B430" s="118" t="s">
        <v>1417</v>
      </c>
      <c r="C430" s="118" t="s">
        <v>1418</v>
      </c>
      <c r="D430" s="118" t="s">
        <v>561</v>
      </c>
      <c r="E430" s="119">
        <v>1465</v>
      </c>
      <c r="F430" s="118">
        <v>37</v>
      </c>
      <c r="G430" s="120">
        <v>40612</v>
      </c>
    </row>
    <row r="431" spans="1:7" x14ac:dyDescent="0.25">
      <c r="A431" s="118">
        <f>SUBTOTAL(3,$B$6:B431)</f>
        <v>426</v>
      </c>
      <c r="B431" s="118" t="s">
        <v>1419</v>
      </c>
      <c r="C431" s="118" t="s">
        <v>1420</v>
      </c>
      <c r="D431" s="118" t="s">
        <v>572</v>
      </c>
      <c r="E431" s="119">
        <v>1455</v>
      </c>
      <c r="F431" s="118">
        <v>47</v>
      </c>
      <c r="G431" s="120">
        <v>39961</v>
      </c>
    </row>
    <row r="432" spans="1:7" x14ac:dyDescent="0.25">
      <c r="A432" s="118">
        <f>SUBTOTAL(3,$B$6:B432)</f>
        <v>427</v>
      </c>
      <c r="B432" s="118" t="s">
        <v>1421</v>
      </c>
      <c r="C432" s="118" t="s">
        <v>1422</v>
      </c>
      <c r="D432" s="118" t="s">
        <v>641</v>
      </c>
      <c r="E432" s="119">
        <v>1454</v>
      </c>
      <c r="F432" s="118">
        <v>34</v>
      </c>
      <c r="G432" s="120">
        <v>40226</v>
      </c>
    </row>
    <row r="433" spans="1:7" x14ac:dyDescent="0.25">
      <c r="A433" s="118">
        <f>SUBTOTAL(3,$B$6:B433)</f>
        <v>428</v>
      </c>
      <c r="B433" s="118" t="s">
        <v>1423</v>
      </c>
      <c r="C433" s="118" t="s">
        <v>1424</v>
      </c>
      <c r="D433" s="118" t="s">
        <v>564</v>
      </c>
      <c r="E433" s="119">
        <v>1453</v>
      </c>
      <c r="F433" s="118">
        <v>25</v>
      </c>
      <c r="G433" s="120">
        <v>43391</v>
      </c>
    </row>
    <row r="434" spans="1:7" x14ac:dyDescent="0.25">
      <c r="A434" s="118">
        <f>SUBTOTAL(3,$B$6:B434)</f>
        <v>429</v>
      </c>
      <c r="B434" s="118" t="s">
        <v>1425</v>
      </c>
      <c r="C434" s="118" t="s">
        <v>1426</v>
      </c>
      <c r="D434" s="118" t="s">
        <v>597</v>
      </c>
      <c r="E434" s="119">
        <v>1449</v>
      </c>
      <c r="F434" s="118">
        <v>51</v>
      </c>
      <c r="G434" s="120">
        <v>38856</v>
      </c>
    </row>
    <row r="435" spans="1:7" x14ac:dyDescent="0.25">
      <c r="A435" s="118">
        <f>SUBTOTAL(3,$B$6:B435)</f>
        <v>430</v>
      </c>
      <c r="B435" s="118" t="s">
        <v>1427</v>
      </c>
      <c r="C435" s="118" t="s">
        <v>1428</v>
      </c>
      <c r="D435" s="118" t="s">
        <v>567</v>
      </c>
      <c r="E435" s="119">
        <v>1444</v>
      </c>
      <c r="F435" s="118">
        <v>21</v>
      </c>
      <c r="G435" s="120">
        <v>43655</v>
      </c>
    </row>
    <row r="436" spans="1:7" x14ac:dyDescent="0.25">
      <c r="A436" s="118">
        <f>SUBTOTAL(3,$B$6:B436)</f>
        <v>431</v>
      </c>
      <c r="B436" s="118" t="s">
        <v>1429</v>
      </c>
      <c r="C436" s="118" t="s">
        <v>1430</v>
      </c>
      <c r="D436" s="118" t="s">
        <v>695</v>
      </c>
      <c r="E436" s="119">
        <v>1443</v>
      </c>
      <c r="F436" s="118">
        <v>29</v>
      </c>
      <c r="G436" s="120">
        <v>43153</v>
      </c>
    </row>
    <row r="437" spans="1:7" x14ac:dyDescent="0.25">
      <c r="A437" s="118">
        <f>SUBTOTAL(3,$B$6:B437)</f>
        <v>432</v>
      </c>
      <c r="B437" s="118" t="s">
        <v>1431</v>
      </c>
      <c r="C437" s="118" t="s">
        <v>1432</v>
      </c>
      <c r="D437" s="118" t="s">
        <v>641</v>
      </c>
      <c r="E437" s="119">
        <v>1434</v>
      </c>
      <c r="F437" s="118">
        <v>47</v>
      </c>
      <c r="G437" s="120">
        <v>39958</v>
      </c>
    </row>
    <row r="438" spans="1:7" x14ac:dyDescent="0.25">
      <c r="A438" s="118">
        <f>SUBTOTAL(3,$B$6:B438)</f>
        <v>433</v>
      </c>
      <c r="B438" s="118" t="s">
        <v>1433</v>
      </c>
      <c r="C438" s="118" t="s">
        <v>1434</v>
      </c>
      <c r="D438" s="118" t="s">
        <v>549</v>
      </c>
      <c r="E438" s="119">
        <v>1427</v>
      </c>
      <c r="F438" s="118">
        <v>23</v>
      </c>
      <c r="G438" s="120">
        <v>43536</v>
      </c>
    </row>
    <row r="439" spans="1:7" x14ac:dyDescent="0.25">
      <c r="A439" s="118">
        <f>SUBTOTAL(3,$B$6:B439)</f>
        <v>434</v>
      </c>
      <c r="B439" s="118" t="s">
        <v>1435</v>
      </c>
      <c r="C439" s="118" t="s">
        <v>1436</v>
      </c>
      <c r="D439" s="118" t="s">
        <v>561</v>
      </c>
      <c r="E439" s="119">
        <v>1420</v>
      </c>
      <c r="F439" s="118">
        <v>49</v>
      </c>
      <c r="G439" s="120">
        <v>39854</v>
      </c>
    </row>
    <row r="440" spans="1:7" x14ac:dyDescent="0.25">
      <c r="A440" s="118">
        <f>SUBTOTAL(3,$B$6:B440)</f>
        <v>435</v>
      </c>
      <c r="B440" s="118" t="s">
        <v>1437</v>
      </c>
      <c r="C440" s="118" t="s">
        <v>1438</v>
      </c>
      <c r="D440" s="118" t="s">
        <v>561</v>
      </c>
      <c r="E440" s="119">
        <v>1408</v>
      </c>
      <c r="F440" s="118">
        <v>50</v>
      </c>
      <c r="G440" s="120">
        <v>38944</v>
      </c>
    </row>
    <row r="441" spans="1:7" x14ac:dyDescent="0.25">
      <c r="A441" s="118">
        <f>SUBTOTAL(3,$B$6:B441)</f>
        <v>436</v>
      </c>
      <c r="B441" s="118" t="s">
        <v>1439</v>
      </c>
      <c r="C441" s="118" t="s">
        <v>1440</v>
      </c>
      <c r="D441" s="118" t="s">
        <v>594</v>
      </c>
      <c r="E441" s="119">
        <v>1408</v>
      </c>
      <c r="F441" s="118">
        <v>48</v>
      </c>
      <c r="G441" s="120">
        <v>39933</v>
      </c>
    </row>
    <row r="442" spans="1:7" x14ac:dyDescent="0.25">
      <c r="A442" s="118">
        <f>SUBTOTAL(3,$B$6:B442)</f>
        <v>437</v>
      </c>
      <c r="B442" s="118" t="s">
        <v>1441</v>
      </c>
      <c r="C442" s="118" t="s">
        <v>1442</v>
      </c>
      <c r="D442" s="118" t="s">
        <v>540</v>
      </c>
      <c r="E442" s="119">
        <v>1407</v>
      </c>
      <c r="F442" s="118">
        <v>27</v>
      </c>
      <c r="G442" s="120">
        <v>43304</v>
      </c>
    </row>
    <row r="443" spans="1:7" x14ac:dyDescent="0.25">
      <c r="A443" s="118">
        <f>SUBTOTAL(3,$B$6:B443)</f>
        <v>438</v>
      </c>
      <c r="B443" s="118" t="s">
        <v>1443</v>
      </c>
      <c r="C443" s="118" t="s">
        <v>1444</v>
      </c>
      <c r="D443" s="118" t="s">
        <v>546</v>
      </c>
      <c r="E443" s="119">
        <v>1405</v>
      </c>
      <c r="F443" s="118">
        <v>22</v>
      </c>
      <c r="G443" s="120">
        <v>43558</v>
      </c>
    </row>
    <row r="444" spans="1:7" x14ac:dyDescent="0.25">
      <c r="A444" s="118">
        <f>SUBTOTAL(3,$B$6:B444)</f>
        <v>439</v>
      </c>
      <c r="B444" s="118" t="s">
        <v>1445</v>
      </c>
      <c r="C444" s="118" t="s">
        <v>1446</v>
      </c>
      <c r="D444" s="118" t="s">
        <v>591</v>
      </c>
      <c r="E444" s="119">
        <v>1404</v>
      </c>
      <c r="F444" s="118">
        <v>48</v>
      </c>
      <c r="G444" s="120">
        <v>39909</v>
      </c>
    </row>
    <row r="445" spans="1:7" x14ac:dyDescent="0.25">
      <c r="A445" s="118">
        <f>SUBTOTAL(3,$B$6:B445)</f>
        <v>440</v>
      </c>
      <c r="B445" s="118" t="s">
        <v>1447</v>
      </c>
      <c r="C445" s="118" t="s">
        <v>1448</v>
      </c>
      <c r="D445" s="118" t="s">
        <v>555</v>
      </c>
      <c r="E445" s="119">
        <v>1399</v>
      </c>
      <c r="F445" s="118">
        <v>31</v>
      </c>
      <c r="G445" s="120">
        <v>40387</v>
      </c>
    </row>
    <row r="446" spans="1:7" x14ac:dyDescent="0.25">
      <c r="A446" s="118">
        <f>SUBTOTAL(3,$B$6:B446)</f>
        <v>441</v>
      </c>
      <c r="B446" s="118" t="s">
        <v>1449</v>
      </c>
      <c r="C446" s="118" t="s">
        <v>1450</v>
      </c>
      <c r="D446" s="118" t="s">
        <v>549</v>
      </c>
      <c r="E446" s="119">
        <v>1399</v>
      </c>
      <c r="F446" s="118">
        <v>26</v>
      </c>
      <c r="G446" s="120">
        <v>43350</v>
      </c>
    </row>
    <row r="447" spans="1:7" x14ac:dyDescent="0.25">
      <c r="A447" s="118">
        <f>SUBTOTAL(3,$B$6:B447)</f>
        <v>442</v>
      </c>
      <c r="B447" s="118" t="s">
        <v>1451</v>
      </c>
      <c r="C447" s="118" t="s">
        <v>1452</v>
      </c>
      <c r="D447" s="118" t="s">
        <v>558</v>
      </c>
      <c r="E447" s="119">
        <v>1398</v>
      </c>
      <c r="F447" s="118">
        <v>50</v>
      </c>
      <c r="G447" s="120">
        <v>39819</v>
      </c>
    </row>
    <row r="448" spans="1:7" x14ac:dyDescent="0.25">
      <c r="A448" s="118">
        <f>SUBTOTAL(3,$B$6:B448)</f>
        <v>443</v>
      </c>
      <c r="B448" s="118" t="s">
        <v>1453</v>
      </c>
      <c r="C448" s="118" t="s">
        <v>1454</v>
      </c>
      <c r="D448" s="118" t="s">
        <v>594</v>
      </c>
      <c r="E448" s="119">
        <v>1389</v>
      </c>
      <c r="F448" s="118">
        <v>47</v>
      </c>
      <c r="G448" s="120">
        <v>39993</v>
      </c>
    </row>
    <row r="449" spans="1:7" x14ac:dyDescent="0.25">
      <c r="A449" s="118">
        <f>SUBTOTAL(3,$B$6:B449)</f>
        <v>444</v>
      </c>
      <c r="B449" s="118" t="s">
        <v>1455</v>
      </c>
      <c r="C449" s="118" t="s">
        <v>1456</v>
      </c>
      <c r="D449" s="118" t="s">
        <v>561</v>
      </c>
      <c r="E449" s="119">
        <v>1385</v>
      </c>
      <c r="F449" s="118">
        <v>47</v>
      </c>
      <c r="G449" s="120">
        <v>40014</v>
      </c>
    </row>
    <row r="450" spans="1:7" x14ac:dyDescent="0.25">
      <c r="A450" s="118">
        <f>SUBTOTAL(3,$B$6:B450)</f>
        <v>445</v>
      </c>
      <c r="B450" s="118" t="s">
        <v>1457</v>
      </c>
      <c r="C450" s="118" t="s">
        <v>1458</v>
      </c>
      <c r="D450" s="118" t="s">
        <v>561</v>
      </c>
      <c r="E450" s="119">
        <v>1382</v>
      </c>
      <c r="F450" s="118">
        <v>49</v>
      </c>
      <c r="G450" s="120">
        <v>39857</v>
      </c>
    </row>
    <row r="451" spans="1:7" x14ac:dyDescent="0.25">
      <c r="A451" s="118">
        <f>SUBTOTAL(3,$B$6:B451)</f>
        <v>446</v>
      </c>
      <c r="B451" s="118" t="s">
        <v>1459</v>
      </c>
      <c r="C451" s="118" t="s">
        <v>1460</v>
      </c>
      <c r="D451" s="118" t="s">
        <v>654</v>
      </c>
      <c r="E451" s="119">
        <v>1377</v>
      </c>
      <c r="F451" s="118">
        <v>40</v>
      </c>
      <c r="G451" s="120">
        <v>40436</v>
      </c>
    </row>
    <row r="452" spans="1:7" x14ac:dyDescent="0.25">
      <c r="A452" s="118">
        <f>SUBTOTAL(3,$B$6:B452)</f>
        <v>447</v>
      </c>
      <c r="B452" s="118" t="s">
        <v>1461</v>
      </c>
      <c r="C452" s="118" t="s">
        <v>1462</v>
      </c>
      <c r="D452" s="118" t="s">
        <v>641</v>
      </c>
      <c r="E452" s="119">
        <v>1376</v>
      </c>
      <c r="F452" s="118">
        <v>33</v>
      </c>
      <c r="G452" s="120">
        <v>40281</v>
      </c>
    </row>
    <row r="453" spans="1:7" x14ac:dyDescent="0.25">
      <c r="A453" s="118">
        <f>SUBTOTAL(3,$B$6:B453)</f>
        <v>448</v>
      </c>
      <c r="B453" s="118" t="s">
        <v>1463</v>
      </c>
      <c r="C453" s="118" t="s">
        <v>1464</v>
      </c>
      <c r="D453" s="118" t="s">
        <v>901</v>
      </c>
      <c r="E453" s="119">
        <v>1374</v>
      </c>
      <c r="F453" s="118">
        <v>51</v>
      </c>
      <c r="G453" s="120">
        <v>38889</v>
      </c>
    </row>
    <row r="454" spans="1:7" x14ac:dyDescent="0.25">
      <c r="A454" s="118">
        <f>SUBTOTAL(3,$B$6:B454)</f>
        <v>449</v>
      </c>
      <c r="B454" s="118" t="s">
        <v>1465</v>
      </c>
      <c r="C454" s="118" t="s">
        <v>1466</v>
      </c>
      <c r="D454" s="118" t="s">
        <v>564</v>
      </c>
      <c r="E454" s="119">
        <v>1373</v>
      </c>
      <c r="F454" s="118">
        <v>26</v>
      </c>
      <c r="G454" s="120">
        <v>43332</v>
      </c>
    </row>
    <row r="455" spans="1:7" x14ac:dyDescent="0.25">
      <c r="A455" s="118">
        <f>SUBTOTAL(3,$B$6:B455)</f>
        <v>450</v>
      </c>
      <c r="B455" s="118" t="s">
        <v>1467</v>
      </c>
      <c r="C455" s="118" t="s">
        <v>1468</v>
      </c>
      <c r="D455" s="118" t="s">
        <v>561</v>
      </c>
      <c r="E455" s="119">
        <v>1372</v>
      </c>
      <c r="F455" s="118">
        <v>42</v>
      </c>
      <c r="G455" s="120">
        <v>40263</v>
      </c>
    </row>
    <row r="456" spans="1:7" x14ac:dyDescent="0.25">
      <c r="A456" s="118">
        <f>SUBTOTAL(3,$B$6:B456)</f>
        <v>451</v>
      </c>
      <c r="B456" s="118" t="s">
        <v>1469</v>
      </c>
      <c r="C456" s="118" t="s">
        <v>1470</v>
      </c>
      <c r="D456" s="118" t="s">
        <v>540</v>
      </c>
      <c r="E456" s="119">
        <v>1368</v>
      </c>
      <c r="F456" s="118">
        <v>37</v>
      </c>
      <c r="G456" s="120">
        <v>40568</v>
      </c>
    </row>
    <row r="457" spans="1:7" x14ac:dyDescent="0.25">
      <c r="A457" s="118">
        <f>SUBTOTAL(3,$B$6:B457)</f>
        <v>452</v>
      </c>
      <c r="B457" s="118" t="s">
        <v>1471</v>
      </c>
      <c r="C457" s="118" t="s">
        <v>1472</v>
      </c>
      <c r="D457" s="118" t="s">
        <v>594</v>
      </c>
      <c r="E457" s="119">
        <v>1364</v>
      </c>
      <c r="F457" s="118">
        <v>47</v>
      </c>
      <c r="G457" s="120">
        <v>40002</v>
      </c>
    </row>
    <row r="458" spans="1:7" x14ac:dyDescent="0.25">
      <c r="A458" s="118">
        <f>SUBTOTAL(3,$B$6:B458)</f>
        <v>453</v>
      </c>
      <c r="B458" s="118" t="s">
        <v>1473</v>
      </c>
      <c r="C458" s="118" t="s">
        <v>1474</v>
      </c>
      <c r="D458" s="118" t="s">
        <v>549</v>
      </c>
      <c r="E458" s="119">
        <v>1360</v>
      </c>
      <c r="F458" s="118">
        <v>24</v>
      </c>
      <c r="G458" s="120">
        <v>43480</v>
      </c>
    </row>
    <row r="459" spans="1:7" x14ac:dyDescent="0.25">
      <c r="A459" s="118">
        <f>SUBTOTAL(3,$B$6:B459)</f>
        <v>454</v>
      </c>
      <c r="B459" s="118" t="s">
        <v>1475</v>
      </c>
      <c r="C459" s="118" t="s">
        <v>1476</v>
      </c>
      <c r="D459" s="118" t="s">
        <v>594</v>
      </c>
      <c r="E459" s="119">
        <v>1353</v>
      </c>
      <c r="F459" s="118">
        <v>22</v>
      </c>
      <c r="G459" s="120">
        <v>43595</v>
      </c>
    </row>
    <row r="460" spans="1:7" x14ac:dyDescent="0.25">
      <c r="A460" s="118">
        <f>SUBTOTAL(3,$B$6:B460)</f>
        <v>455</v>
      </c>
      <c r="B460" s="118" t="s">
        <v>1477</v>
      </c>
      <c r="C460" s="118" t="s">
        <v>1478</v>
      </c>
      <c r="D460" s="118" t="s">
        <v>543</v>
      </c>
      <c r="E460" s="119">
        <v>1345</v>
      </c>
      <c r="F460" s="118">
        <v>35</v>
      </c>
      <c r="G460" s="120">
        <v>40679</v>
      </c>
    </row>
    <row r="461" spans="1:7" x14ac:dyDescent="0.25">
      <c r="A461" s="118">
        <f>SUBTOTAL(3,$B$6:B461)</f>
        <v>456</v>
      </c>
      <c r="B461" s="118" t="s">
        <v>1479</v>
      </c>
      <c r="C461" s="118" t="s">
        <v>1480</v>
      </c>
      <c r="D461" s="118" t="s">
        <v>636</v>
      </c>
      <c r="E461" s="119">
        <v>1341</v>
      </c>
      <c r="F461" s="118">
        <v>49</v>
      </c>
      <c r="G461" s="120">
        <v>39861</v>
      </c>
    </row>
    <row r="462" spans="1:7" x14ac:dyDescent="0.25">
      <c r="A462" s="118">
        <f>SUBTOTAL(3,$B$6:B462)</f>
        <v>457</v>
      </c>
      <c r="B462" s="118" t="s">
        <v>1481</v>
      </c>
      <c r="C462" s="118" t="s">
        <v>1482</v>
      </c>
      <c r="D462" s="118" t="s">
        <v>564</v>
      </c>
      <c r="E462" s="119">
        <v>1333</v>
      </c>
      <c r="F462" s="118">
        <v>29</v>
      </c>
      <c r="G462" s="120">
        <v>43158</v>
      </c>
    </row>
    <row r="463" spans="1:7" x14ac:dyDescent="0.25">
      <c r="A463" s="118">
        <f>SUBTOTAL(3,$B$6:B463)</f>
        <v>458</v>
      </c>
      <c r="B463" s="118" t="s">
        <v>1483</v>
      </c>
      <c r="C463" s="118" t="s">
        <v>1484</v>
      </c>
      <c r="D463" s="118" t="s">
        <v>546</v>
      </c>
      <c r="E463" s="119">
        <v>1330</v>
      </c>
      <c r="F463" s="118">
        <v>50</v>
      </c>
      <c r="G463" s="120">
        <v>38910</v>
      </c>
    </row>
    <row r="464" spans="1:7" x14ac:dyDescent="0.25">
      <c r="A464" s="118">
        <f>SUBTOTAL(3,$B$6:B464)</f>
        <v>459</v>
      </c>
      <c r="B464" s="118" t="s">
        <v>1485</v>
      </c>
      <c r="C464" s="118" t="s">
        <v>1486</v>
      </c>
      <c r="D464" s="118" t="s">
        <v>561</v>
      </c>
      <c r="E464" s="119">
        <v>1329</v>
      </c>
      <c r="F464" s="118">
        <v>29</v>
      </c>
      <c r="G464" s="120">
        <v>43175</v>
      </c>
    </row>
    <row r="465" spans="1:7" x14ac:dyDescent="0.25">
      <c r="A465" s="118">
        <f>SUBTOTAL(3,$B$6:B465)</f>
        <v>460</v>
      </c>
      <c r="B465" s="118" t="s">
        <v>1487</v>
      </c>
      <c r="C465" s="118" t="s">
        <v>1488</v>
      </c>
      <c r="D465" s="118" t="s">
        <v>564</v>
      </c>
      <c r="E465" s="119">
        <v>1327</v>
      </c>
      <c r="F465" s="118">
        <v>36</v>
      </c>
      <c r="G465" s="120">
        <v>43951</v>
      </c>
    </row>
    <row r="466" spans="1:7" x14ac:dyDescent="0.25">
      <c r="A466" s="118">
        <f>SUBTOTAL(3,$B$6:B466)</f>
        <v>461</v>
      </c>
      <c r="B466" s="118" t="s">
        <v>1489</v>
      </c>
      <c r="C466" s="118" t="s">
        <v>1490</v>
      </c>
      <c r="D466" s="118" t="s">
        <v>641</v>
      </c>
      <c r="E466" s="119">
        <v>1325</v>
      </c>
      <c r="F466" s="118">
        <v>45</v>
      </c>
      <c r="G466" s="120">
        <v>40067</v>
      </c>
    </row>
    <row r="467" spans="1:7" x14ac:dyDescent="0.25">
      <c r="A467" s="118">
        <f>SUBTOTAL(3,$B$6:B467)</f>
        <v>462</v>
      </c>
      <c r="B467" s="118" t="s">
        <v>1491</v>
      </c>
      <c r="C467" s="118" t="s">
        <v>1492</v>
      </c>
      <c r="D467" s="118" t="s">
        <v>540</v>
      </c>
      <c r="E467" s="119">
        <v>1321</v>
      </c>
      <c r="F467" s="118">
        <v>51</v>
      </c>
      <c r="G467" s="120">
        <v>38855</v>
      </c>
    </row>
    <row r="468" spans="1:7" x14ac:dyDescent="0.25">
      <c r="A468" s="118">
        <f>SUBTOTAL(3,$B$6:B468)</f>
        <v>463</v>
      </c>
      <c r="B468" s="118" t="s">
        <v>1493</v>
      </c>
      <c r="C468" s="118" t="s">
        <v>1494</v>
      </c>
      <c r="D468" s="118" t="s">
        <v>586</v>
      </c>
      <c r="E468" s="119">
        <v>1321</v>
      </c>
      <c r="F468" s="118">
        <v>25</v>
      </c>
      <c r="G468" s="120">
        <v>44060</v>
      </c>
    </row>
    <row r="469" spans="1:7" x14ac:dyDescent="0.25">
      <c r="A469" s="118">
        <f>SUBTOTAL(3,$B$6:B469)</f>
        <v>464</v>
      </c>
      <c r="B469" s="118" t="s">
        <v>1495</v>
      </c>
      <c r="C469" s="118" t="s">
        <v>1496</v>
      </c>
      <c r="D469" s="118" t="s">
        <v>661</v>
      </c>
      <c r="E469" s="119">
        <v>1319</v>
      </c>
      <c r="F469" s="118">
        <v>31</v>
      </c>
      <c r="G469" s="120">
        <v>40423</v>
      </c>
    </row>
    <row r="470" spans="1:7" x14ac:dyDescent="0.25">
      <c r="A470" s="118">
        <f>SUBTOTAL(3,$B$6:B470)</f>
        <v>465</v>
      </c>
      <c r="B470" s="118" t="s">
        <v>1497</v>
      </c>
      <c r="C470" s="118" t="s">
        <v>1498</v>
      </c>
      <c r="D470" s="118" t="s">
        <v>549</v>
      </c>
      <c r="E470" s="119">
        <v>1316</v>
      </c>
      <c r="F470" s="118">
        <v>23</v>
      </c>
      <c r="G470" s="120">
        <v>43528</v>
      </c>
    </row>
    <row r="471" spans="1:7" x14ac:dyDescent="0.25">
      <c r="A471" s="118">
        <f>SUBTOTAL(3,$B$6:B471)</f>
        <v>466</v>
      </c>
      <c r="B471" s="118" t="s">
        <v>1499</v>
      </c>
      <c r="C471" s="118" t="s">
        <v>1500</v>
      </c>
      <c r="D471" s="118" t="s">
        <v>549</v>
      </c>
      <c r="E471" s="119">
        <v>1307</v>
      </c>
      <c r="F471" s="118">
        <v>44</v>
      </c>
      <c r="G471" s="120">
        <v>40128</v>
      </c>
    </row>
    <row r="472" spans="1:7" x14ac:dyDescent="0.25">
      <c r="A472" s="118">
        <f>SUBTOTAL(3,$B$6:B472)</f>
        <v>467</v>
      </c>
      <c r="B472" s="118" t="s">
        <v>1501</v>
      </c>
      <c r="C472" s="118" t="s">
        <v>1502</v>
      </c>
      <c r="D472" s="118" t="s">
        <v>564</v>
      </c>
      <c r="E472" s="119">
        <v>1303</v>
      </c>
      <c r="F472" s="118">
        <v>32</v>
      </c>
      <c r="G472" s="120">
        <v>44020</v>
      </c>
    </row>
    <row r="473" spans="1:7" x14ac:dyDescent="0.25">
      <c r="A473" s="118">
        <f>SUBTOTAL(3,$B$6:B473)</f>
        <v>468</v>
      </c>
      <c r="B473" s="118" t="s">
        <v>1503</v>
      </c>
      <c r="C473" s="118" t="s">
        <v>1504</v>
      </c>
      <c r="D473" s="118" t="s">
        <v>561</v>
      </c>
      <c r="E473" s="119">
        <v>1301</v>
      </c>
      <c r="F473" s="118">
        <v>33</v>
      </c>
      <c r="G473" s="120">
        <v>40325</v>
      </c>
    </row>
    <row r="474" spans="1:7" x14ac:dyDescent="0.25">
      <c r="A474" s="118">
        <f>SUBTOTAL(3,$B$6:B474)</f>
        <v>469</v>
      </c>
      <c r="B474" s="118" t="s">
        <v>1505</v>
      </c>
      <c r="C474" s="118" t="s">
        <v>1506</v>
      </c>
      <c r="D474" s="118" t="s">
        <v>572</v>
      </c>
      <c r="E474" s="119">
        <v>1296</v>
      </c>
      <c r="F474" s="118">
        <v>43</v>
      </c>
      <c r="G474" s="120">
        <v>40193</v>
      </c>
    </row>
    <row r="475" spans="1:7" x14ac:dyDescent="0.25">
      <c r="A475" s="118">
        <f>SUBTOTAL(3,$B$6:B475)</f>
        <v>470</v>
      </c>
      <c r="B475" s="118" t="s">
        <v>1507</v>
      </c>
      <c r="C475" s="118" t="s">
        <v>1508</v>
      </c>
      <c r="D475" s="118" t="s">
        <v>564</v>
      </c>
      <c r="E475" s="119">
        <v>1295</v>
      </c>
      <c r="F475" s="118">
        <v>39</v>
      </c>
      <c r="G475" s="120">
        <v>44022</v>
      </c>
    </row>
    <row r="476" spans="1:7" x14ac:dyDescent="0.25">
      <c r="A476" s="118">
        <f>SUBTOTAL(3,$B$6:B476)</f>
        <v>471</v>
      </c>
      <c r="B476" s="118" t="s">
        <v>1509</v>
      </c>
      <c r="C476" s="118" t="s">
        <v>1510</v>
      </c>
      <c r="D476" s="118" t="s">
        <v>594</v>
      </c>
      <c r="E476" s="119">
        <v>1295</v>
      </c>
      <c r="F476" s="118">
        <v>23</v>
      </c>
      <c r="G476" s="120">
        <v>43996</v>
      </c>
    </row>
    <row r="477" spans="1:7" x14ac:dyDescent="0.25">
      <c r="A477" s="118">
        <f>SUBTOTAL(3,$B$6:B477)</f>
        <v>472</v>
      </c>
      <c r="B477" s="118" t="s">
        <v>1511</v>
      </c>
      <c r="C477" s="118" t="s">
        <v>1512</v>
      </c>
      <c r="D477" s="118" t="s">
        <v>546</v>
      </c>
      <c r="E477" s="119">
        <v>1292</v>
      </c>
      <c r="F477" s="118">
        <v>23</v>
      </c>
      <c r="G477" s="120">
        <v>43497</v>
      </c>
    </row>
    <row r="478" spans="1:7" x14ac:dyDescent="0.25">
      <c r="A478" s="118">
        <f>SUBTOTAL(3,$B$6:B478)</f>
        <v>473</v>
      </c>
      <c r="B478" s="118" t="s">
        <v>1513</v>
      </c>
      <c r="C478" s="118" t="s">
        <v>1514</v>
      </c>
      <c r="D478" s="118" t="s">
        <v>654</v>
      </c>
      <c r="E478" s="119">
        <v>1290</v>
      </c>
      <c r="F478" s="118">
        <v>48</v>
      </c>
      <c r="G478" s="120">
        <v>44047</v>
      </c>
    </row>
    <row r="479" spans="1:7" x14ac:dyDescent="0.25">
      <c r="A479" s="118">
        <f>SUBTOTAL(3,$B$6:B479)</f>
        <v>474</v>
      </c>
      <c r="B479" s="118" t="s">
        <v>1515</v>
      </c>
      <c r="C479" s="118" t="s">
        <v>1516</v>
      </c>
      <c r="D479" s="118" t="s">
        <v>641</v>
      </c>
      <c r="E479" s="119">
        <v>1284</v>
      </c>
      <c r="F479" s="118">
        <v>44</v>
      </c>
      <c r="G479" s="120">
        <v>40115</v>
      </c>
    </row>
    <row r="480" spans="1:7" x14ac:dyDescent="0.25">
      <c r="A480" s="118">
        <f>SUBTOTAL(3,$B$6:B480)</f>
        <v>475</v>
      </c>
      <c r="B480" s="118" t="s">
        <v>1517</v>
      </c>
      <c r="C480" s="118" t="s">
        <v>1518</v>
      </c>
      <c r="D480" s="118" t="s">
        <v>594</v>
      </c>
      <c r="E480" s="119">
        <v>1284</v>
      </c>
      <c r="F480" s="118">
        <v>51</v>
      </c>
      <c r="G480" s="120">
        <v>38884</v>
      </c>
    </row>
    <row r="481" spans="1:7" x14ac:dyDescent="0.25">
      <c r="A481" s="118">
        <f>SUBTOTAL(3,$B$6:B481)</f>
        <v>476</v>
      </c>
      <c r="B481" s="118" t="s">
        <v>1519</v>
      </c>
      <c r="C481" s="118" t="s">
        <v>1520</v>
      </c>
      <c r="D481" s="118" t="s">
        <v>600</v>
      </c>
      <c r="E481" s="119">
        <v>1283</v>
      </c>
      <c r="F481" s="118">
        <v>48</v>
      </c>
      <c r="G481" s="120">
        <v>39896</v>
      </c>
    </row>
    <row r="482" spans="1:7" x14ac:dyDescent="0.25">
      <c r="A482" s="118">
        <f>SUBTOTAL(3,$B$6:B482)</f>
        <v>477</v>
      </c>
      <c r="B482" s="118" t="s">
        <v>1521</v>
      </c>
      <c r="C482" s="118" t="s">
        <v>1522</v>
      </c>
      <c r="D482" s="118" t="s">
        <v>561</v>
      </c>
      <c r="E482" s="119">
        <v>1280</v>
      </c>
      <c r="F482" s="118">
        <v>36</v>
      </c>
      <c r="G482" s="120">
        <v>40632</v>
      </c>
    </row>
    <row r="483" spans="1:7" x14ac:dyDescent="0.25">
      <c r="A483" s="118">
        <f>SUBTOTAL(3,$B$6:B483)</f>
        <v>478</v>
      </c>
      <c r="B483" s="118" t="s">
        <v>1523</v>
      </c>
      <c r="C483" s="118" t="s">
        <v>1524</v>
      </c>
      <c r="D483" s="118" t="s">
        <v>564</v>
      </c>
      <c r="E483" s="119">
        <v>1273</v>
      </c>
      <c r="F483" s="118">
        <v>29</v>
      </c>
      <c r="G483" s="120">
        <v>44027</v>
      </c>
    </row>
    <row r="484" spans="1:7" x14ac:dyDescent="0.25">
      <c r="A484" s="118">
        <f>SUBTOTAL(3,$B$6:B484)</f>
        <v>479</v>
      </c>
      <c r="B484" s="118" t="s">
        <v>1525</v>
      </c>
      <c r="C484" s="118" t="s">
        <v>1526</v>
      </c>
      <c r="D484" s="118" t="s">
        <v>549</v>
      </c>
      <c r="E484" s="119">
        <v>1271</v>
      </c>
      <c r="F484" s="118">
        <v>31</v>
      </c>
      <c r="G484" s="120">
        <v>40443</v>
      </c>
    </row>
    <row r="485" spans="1:7" x14ac:dyDescent="0.25">
      <c r="A485" s="118">
        <f>SUBTOTAL(3,$B$6:B485)</f>
        <v>480</v>
      </c>
      <c r="B485" s="118" t="s">
        <v>1527</v>
      </c>
      <c r="C485" s="118" t="s">
        <v>1528</v>
      </c>
      <c r="D485" s="118" t="s">
        <v>564</v>
      </c>
      <c r="E485" s="119">
        <v>1260</v>
      </c>
      <c r="F485" s="118">
        <v>25</v>
      </c>
      <c r="G485" s="120">
        <v>44031</v>
      </c>
    </row>
    <row r="486" spans="1:7" x14ac:dyDescent="0.25">
      <c r="A486" s="118">
        <f>SUBTOTAL(3,$B$6:B486)</f>
        <v>481</v>
      </c>
      <c r="B486" s="118" t="s">
        <v>1529</v>
      </c>
      <c r="C486" s="118" t="s">
        <v>1530</v>
      </c>
      <c r="D486" s="118" t="s">
        <v>661</v>
      </c>
      <c r="E486" s="119">
        <v>1253</v>
      </c>
      <c r="F486" s="118">
        <v>28</v>
      </c>
      <c r="G486" s="120">
        <v>43229</v>
      </c>
    </row>
    <row r="487" spans="1:7" x14ac:dyDescent="0.25">
      <c r="A487" s="118">
        <f>SUBTOTAL(3,$B$6:B487)</f>
        <v>482</v>
      </c>
      <c r="B487" s="118" t="s">
        <v>1531</v>
      </c>
      <c r="C487" s="118" t="s">
        <v>1532</v>
      </c>
      <c r="D487" s="118" t="s">
        <v>546</v>
      </c>
      <c r="E487" s="119">
        <v>1243</v>
      </c>
      <c r="F487" s="118">
        <v>25</v>
      </c>
      <c r="G487" s="120">
        <v>43375</v>
      </c>
    </row>
    <row r="488" spans="1:7" x14ac:dyDescent="0.25">
      <c r="A488" s="118">
        <f>SUBTOTAL(3,$B$6:B488)</f>
        <v>483</v>
      </c>
      <c r="B488" s="118" t="s">
        <v>1533</v>
      </c>
      <c r="C488" s="118" t="s">
        <v>1534</v>
      </c>
      <c r="D488" s="118" t="s">
        <v>561</v>
      </c>
      <c r="E488" s="119">
        <v>1240</v>
      </c>
      <c r="F488" s="118">
        <v>35</v>
      </c>
      <c r="G488" s="120">
        <v>40186</v>
      </c>
    </row>
    <row r="489" spans="1:7" x14ac:dyDescent="0.25">
      <c r="A489" s="118">
        <f>SUBTOTAL(3,$B$6:B489)</f>
        <v>484</v>
      </c>
      <c r="B489" s="118" t="s">
        <v>1535</v>
      </c>
      <c r="C489" s="118" t="s">
        <v>1536</v>
      </c>
      <c r="D489" s="118" t="s">
        <v>641</v>
      </c>
      <c r="E489" s="119">
        <v>1233</v>
      </c>
      <c r="F489" s="118">
        <v>44</v>
      </c>
      <c r="G489" s="120">
        <v>40119</v>
      </c>
    </row>
    <row r="490" spans="1:7" x14ac:dyDescent="0.25">
      <c r="A490" s="118">
        <f>SUBTOTAL(3,$B$6:B490)</f>
        <v>485</v>
      </c>
      <c r="B490" s="118" t="s">
        <v>1537</v>
      </c>
      <c r="C490" s="118" t="s">
        <v>1538</v>
      </c>
      <c r="D490" s="118" t="s">
        <v>558</v>
      </c>
      <c r="E490" s="119">
        <v>1233</v>
      </c>
      <c r="F490" s="118">
        <v>30</v>
      </c>
      <c r="G490" s="120">
        <v>44008</v>
      </c>
    </row>
    <row r="491" spans="1:7" x14ac:dyDescent="0.25">
      <c r="A491" s="118">
        <f>SUBTOTAL(3,$B$6:B491)</f>
        <v>486</v>
      </c>
      <c r="B491" s="118" t="s">
        <v>1539</v>
      </c>
      <c r="C491" s="118" t="s">
        <v>1540</v>
      </c>
      <c r="D491" s="118" t="s">
        <v>564</v>
      </c>
      <c r="E491" s="119">
        <v>1226</v>
      </c>
      <c r="F491" s="118">
        <v>30</v>
      </c>
      <c r="G491" s="120">
        <v>44025</v>
      </c>
    </row>
    <row r="492" spans="1:7" x14ac:dyDescent="0.25">
      <c r="A492" s="118">
        <f>SUBTOTAL(3,$B$6:B492)</f>
        <v>487</v>
      </c>
      <c r="B492" s="118" t="s">
        <v>1541</v>
      </c>
      <c r="C492" s="118" t="s">
        <v>1542</v>
      </c>
      <c r="D492" s="118" t="s">
        <v>654</v>
      </c>
      <c r="E492" s="119">
        <v>1226</v>
      </c>
      <c r="F492" s="118">
        <v>38</v>
      </c>
      <c r="G492" s="120">
        <v>44049</v>
      </c>
    </row>
    <row r="493" spans="1:7" x14ac:dyDescent="0.25">
      <c r="A493" s="118">
        <f>SUBTOTAL(3,$B$6:B493)</f>
        <v>488</v>
      </c>
      <c r="B493" s="118" t="s">
        <v>1543</v>
      </c>
      <c r="C493" s="118" t="s">
        <v>1544</v>
      </c>
      <c r="D493" s="118" t="s">
        <v>546</v>
      </c>
      <c r="E493" s="119">
        <v>1224</v>
      </c>
      <c r="F493" s="118">
        <v>28</v>
      </c>
      <c r="G493" s="120">
        <v>43189</v>
      </c>
    </row>
    <row r="494" spans="1:7" x14ac:dyDescent="0.25">
      <c r="A494" s="118">
        <f>SUBTOTAL(3,$B$6:B494)</f>
        <v>489</v>
      </c>
      <c r="B494" s="118" t="s">
        <v>1545</v>
      </c>
      <c r="C494" s="118" t="s">
        <v>1546</v>
      </c>
      <c r="D494" s="118" t="s">
        <v>543</v>
      </c>
      <c r="E494" s="119">
        <v>1222</v>
      </c>
      <c r="F494" s="118">
        <v>36</v>
      </c>
      <c r="G494" s="120">
        <v>44053</v>
      </c>
    </row>
    <row r="495" spans="1:7" x14ac:dyDescent="0.25">
      <c r="A495" s="118">
        <f>SUBTOTAL(3,$B$6:B495)</f>
        <v>490</v>
      </c>
      <c r="B495" s="118" t="s">
        <v>1547</v>
      </c>
      <c r="C495" s="118" t="s">
        <v>1548</v>
      </c>
      <c r="D495" s="118" t="s">
        <v>597</v>
      </c>
      <c r="E495" s="119">
        <v>1221</v>
      </c>
      <c r="F495" s="118">
        <v>47</v>
      </c>
      <c r="G495" s="120">
        <v>39967</v>
      </c>
    </row>
    <row r="496" spans="1:7" x14ac:dyDescent="0.25">
      <c r="A496" s="118">
        <f>SUBTOTAL(3,$B$6:B496)</f>
        <v>491</v>
      </c>
      <c r="B496" s="118" t="s">
        <v>1549</v>
      </c>
      <c r="C496" s="118" t="s">
        <v>1550</v>
      </c>
      <c r="D496" s="118" t="s">
        <v>564</v>
      </c>
      <c r="E496" s="119">
        <v>1217</v>
      </c>
      <c r="F496" s="118">
        <v>23</v>
      </c>
      <c r="G496" s="120">
        <v>44033</v>
      </c>
    </row>
    <row r="497" spans="1:7" x14ac:dyDescent="0.25">
      <c r="A497" s="118">
        <f>SUBTOTAL(3,$B$6:B497)</f>
        <v>492</v>
      </c>
      <c r="B497" s="118" t="s">
        <v>1551</v>
      </c>
      <c r="C497" s="118" t="s">
        <v>1552</v>
      </c>
      <c r="D497" s="118" t="s">
        <v>561</v>
      </c>
      <c r="E497" s="119">
        <v>1217</v>
      </c>
      <c r="F497" s="118">
        <v>35</v>
      </c>
      <c r="G497" s="120">
        <v>40207</v>
      </c>
    </row>
    <row r="498" spans="1:7" x14ac:dyDescent="0.25">
      <c r="A498" s="118">
        <f>SUBTOTAL(3,$B$6:B498)</f>
        <v>493</v>
      </c>
      <c r="B498" s="118" t="s">
        <v>1553</v>
      </c>
      <c r="C498" s="118" t="s">
        <v>1554</v>
      </c>
      <c r="D498" s="118" t="s">
        <v>682</v>
      </c>
      <c r="E498" s="119">
        <v>1209</v>
      </c>
      <c r="F498" s="118">
        <v>34</v>
      </c>
      <c r="G498" s="120">
        <v>40246</v>
      </c>
    </row>
    <row r="499" spans="1:7" x14ac:dyDescent="0.25">
      <c r="A499" s="118">
        <f>SUBTOTAL(3,$B$6:B499)</f>
        <v>494</v>
      </c>
      <c r="B499" s="118" t="s">
        <v>1555</v>
      </c>
      <c r="C499" s="118" t="s">
        <v>1556</v>
      </c>
      <c r="D499" s="118" t="s">
        <v>594</v>
      </c>
      <c r="E499" s="119">
        <v>1209</v>
      </c>
      <c r="F499" s="118">
        <v>46</v>
      </c>
      <c r="G499" s="120">
        <v>40053</v>
      </c>
    </row>
    <row r="500" spans="1:7" x14ac:dyDescent="0.25">
      <c r="A500" s="118">
        <f>SUBTOTAL(3,$B$6:B500)</f>
        <v>495</v>
      </c>
      <c r="B500" s="118" t="s">
        <v>1557</v>
      </c>
      <c r="C500" s="118" t="s">
        <v>1558</v>
      </c>
      <c r="D500" s="118" t="s">
        <v>594</v>
      </c>
      <c r="E500" s="119">
        <v>1191</v>
      </c>
      <c r="F500" s="118">
        <v>49</v>
      </c>
      <c r="G500" s="120">
        <v>39876</v>
      </c>
    </row>
    <row r="501" spans="1:7" x14ac:dyDescent="0.25">
      <c r="A501" s="118">
        <f>SUBTOTAL(3,$B$6:B501)</f>
        <v>496</v>
      </c>
      <c r="B501" s="118" t="s">
        <v>1559</v>
      </c>
      <c r="C501" s="118" t="s">
        <v>1560</v>
      </c>
      <c r="D501" s="118" t="s">
        <v>594</v>
      </c>
      <c r="E501" s="119">
        <v>1190</v>
      </c>
      <c r="F501" s="118">
        <v>44</v>
      </c>
      <c r="G501" s="120">
        <v>40168</v>
      </c>
    </row>
    <row r="502" spans="1:7" x14ac:dyDescent="0.25">
      <c r="A502" s="118">
        <f>SUBTOTAL(3,$B$6:B502)</f>
        <v>497</v>
      </c>
      <c r="B502" s="118" t="s">
        <v>1561</v>
      </c>
      <c r="C502" s="118" t="s">
        <v>1562</v>
      </c>
      <c r="D502" s="118" t="s">
        <v>661</v>
      </c>
      <c r="E502" s="119">
        <v>1185</v>
      </c>
      <c r="F502" s="118">
        <v>42</v>
      </c>
      <c r="G502" s="120">
        <v>40277</v>
      </c>
    </row>
    <row r="503" spans="1:7" x14ac:dyDescent="0.25">
      <c r="A503" s="118">
        <f>SUBTOTAL(3,$B$6:B503)</f>
        <v>498</v>
      </c>
      <c r="B503" s="118" t="s">
        <v>1563</v>
      </c>
      <c r="C503" s="118" t="s">
        <v>1564</v>
      </c>
      <c r="D503" s="118" t="s">
        <v>549</v>
      </c>
      <c r="E503" s="119">
        <v>1184</v>
      </c>
      <c r="F503" s="118">
        <v>46</v>
      </c>
      <c r="G503" s="120">
        <v>40028</v>
      </c>
    </row>
    <row r="504" spans="1:7" x14ac:dyDescent="0.25">
      <c r="A504" s="118">
        <f>SUBTOTAL(3,$B$6:B504)</f>
        <v>499</v>
      </c>
      <c r="B504" s="118" t="s">
        <v>1565</v>
      </c>
      <c r="C504" s="118" t="s">
        <v>1566</v>
      </c>
      <c r="D504" s="118" t="s">
        <v>597</v>
      </c>
      <c r="E504" s="119">
        <v>1182</v>
      </c>
      <c r="F504" s="118">
        <v>32</v>
      </c>
      <c r="G504" s="120">
        <v>40345</v>
      </c>
    </row>
    <row r="505" spans="1:7" x14ac:dyDescent="0.25">
      <c r="A505" s="118">
        <f>SUBTOTAL(3,$B$6:B505)</f>
        <v>500</v>
      </c>
      <c r="B505" s="118" t="s">
        <v>1567</v>
      </c>
      <c r="C505" s="118" t="s">
        <v>1568</v>
      </c>
      <c r="D505" s="118" t="s">
        <v>600</v>
      </c>
      <c r="E505" s="119">
        <v>1178</v>
      </c>
      <c r="F505" s="118">
        <v>34</v>
      </c>
      <c r="G505" s="120">
        <v>40220</v>
      </c>
    </row>
    <row r="506" spans="1:7" x14ac:dyDescent="0.25">
      <c r="A506" s="118">
        <f>SUBTOTAL(3,$B$6:B506)</f>
        <v>501</v>
      </c>
      <c r="B506" s="118" t="s">
        <v>1569</v>
      </c>
      <c r="C506" s="118" t="s">
        <v>1570</v>
      </c>
      <c r="D506" s="118" t="s">
        <v>698</v>
      </c>
      <c r="E506" s="119">
        <v>1176</v>
      </c>
      <c r="F506" s="118">
        <v>51</v>
      </c>
      <c r="G506" s="120">
        <v>38880</v>
      </c>
    </row>
    <row r="507" spans="1:7" x14ac:dyDescent="0.25">
      <c r="A507" s="118">
        <f>SUBTOTAL(3,$B$6:B507)</f>
        <v>502</v>
      </c>
      <c r="B507" s="118" t="s">
        <v>1571</v>
      </c>
      <c r="C507" s="118" t="s">
        <v>1572</v>
      </c>
      <c r="D507" s="118" t="s">
        <v>558</v>
      </c>
      <c r="E507" s="119">
        <v>1173</v>
      </c>
      <c r="F507" s="118">
        <v>42</v>
      </c>
      <c r="G507" s="120">
        <v>44007</v>
      </c>
    </row>
    <row r="508" spans="1:7" x14ac:dyDescent="0.25">
      <c r="A508" s="118">
        <f>SUBTOTAL(3,$B$6:B508)</f>
        <v>503</v>
      </c>
      <c r="B508" s="118" t="s">
        <v>1573</v>
      </c>
      <c r="C508" s="118" t="s">
        <v>1574</v>
      </c>
      <c r="D508" s="118" t="s">
        <v>540</v>
      </c>
      <c r="E508" s="119">
        <v>1170</v>
      </c>
      <c r="F508" s="118">
        <v>32</v>
      </c>
      <c r="G508" s="120">
        <v>40338</v>
      </c>
    </row>
    <row r="509" spans="1:7" x14ac:dyDescent="0.25">
      <c r="A509" s="118">
        <f>SUBTOTAL(3,$B$6:B509)</f>
        <v>504</v>
      </c>
      <c r="B509" s="118" t="s">
        <v>1575</v>
      </c>
      <c r="C509" s="118" t="s">
        <v>1576</v>
      </c>
      <c r="D509" s="118" t="s">
        <v>561</v>
      </c>
      <c r="E509" s="119">
        <v>1164</v>
      </c>
      <c r="F509" s="118">
        <v>40</v>
      </c>
      <c r="G509" s="120">
        <v>40431</v>
      </c>
    </row>
    <row r="510" spans="1:7" x14ac:dyDescent="0.25">
      <c r="A510" s="118">
        <f>SUBTOTAL(3,$B$6:B510)</f>
        <v>505</v>
      </c>
      <c r="B510" s="118" t="s">
        <v>1577</v>
      </c>
      <c r="C510" s="118" t="s">
        <v>1578</v>
      </c>
      <c r="D510" s="118" t="s">
        <v>641</v>
      </c>
      <c r="E510" s="119">
        <v>1163</v>
      </c>
      <c r="F510" s="118">
        <v>33</v>
      </c>
      <c r="G510" s="120">
        <v>40282</v>
      </c>
    </row>
    <row r="511" spans="1:7" x14ac:dyDescent="0.25">
      <c r="A511" s="118">
        <f>SUBTOTAL(3,$B$6:B511)</f>
        <v>506</v>
      </c>
      <c r="B511" s="118" t="s">
        <v>1579</v>
      </c>
      <c r="C511" s="118" t="s">
        <v>1580</v>
      </c>
      <c r="D511" s="118" t="s">
        <v>654</v>
      </c>
      <c r="E511" s="119">
        <v>1163</v>
      </c>
      <c r="F511" s="118">
        <v>30</v>
      </c>
      <c r="G511" s="120">
        <v>44050</v>
      </c>
    </row>
    <row r="512" spans="1:7" x14ac:dyDescent="0.25">
      <c r="A512" s="118">
        <f>SUBTOTAL(3,$B$6:B512)</f>
        <v>507</v>
      </c>
      <c r="B512" s="118" t="s">
        <v>1581</v>
      </c>
      <c r="C512" s="118" t="s">
        <v>1582</v>
      </c>
      <c r="D512" s="118" t="s">
        <v>734</v>
      </c>
      <c r="E512" s="119">
        <v>1161</v>
      </c>
      <c r="F512" s="118">
        <v>40</v>
      </c>
      <c r="G512" s="120">
        <v>44001</v>
      </c>
    </row>
    <row r="513" spans="1:7" x14ac:dyDescent="0.25">
      <c r="A513" s="118">
        <f>SUBTOTAL(3,$B$6:B513)</f>
        <v>508</v>
      </c>
      <c r="B513" s="118" t="s">
        <v>1583</v>
      </c>
      <c r="C513" s="118" t="s">
        <v>1584</v>
      </c>
      <c r="D513" s="118" t="s">
        <v>564</v>
      </c>
      <c r="E513" s="119">
        <v>1158</v>
      </c>
      <c r="F513" s="118">
        <v>51</v>
      </c>
      <c r="G513" s="120">
        <v>44012</v>
      </c>
    </row>
    <row r="514" spans="1:7" x14ac:dyDescent="0.25">
      <c r="A514" s="118">
        <f>SUBTOTAL(3,$B$6:B514)</f>
        <v>509</v>
      </c>
      <c r="B514" s="118" t="s">
        <v>1585</v>
      </c>
      <c r="C514" s="118" t="s">
        <v>1586</v>
      </c>
      <c r="D514" s="118" t="s">
        <v>661</v>
      </c>
      <c r="E514" s="119">
        <v>1156</v>
      </c>
      <c r="F514" s="118">
        <v>43</v>
      </c>
      <c r="G514" s="120">
        <v>40220</v>
      </c>
    </row>
    <row r="515" spans="1:7" x14ac:dyDescent="0.25">
      <c r="A515" s="118">
        <f>SUBTOTAL(3,$B$6:B515)</f>
        <v>510</v>
      </c>
      <c r="B515" s="118" t="s">
        <v>1587</v>
      </c>
      <c r="C515" s="118" t="s">
        <v>1588</v>
      </c>
      <c r="D515" s="118" t="s">
        <v>549</v>
      </c>
      <c r="E515" s="119">
        <v>1153</v>
      </c>
      <c r="F515" s="118">
        <v>50</v>
      </c>
      <c r="G515" s="120">
        <v>38925</v>
      </c>
    </row>
    <row r="516" spans="1:7" x14ac:dyDescent="0.25">
      <c r="A516" s="118">
        <f>SUBTOTAL(3,$B$6:B516)</f>
        <v>511</v>
      </c>
      <c r="B516" s="118" t="s">
        <v>1589</v>
      </c>
      <c r="C516" s="118" t="s">
        <v>1590</v>
      </c>
      <c r="D516" s="118" t="s">
        <v>682</v>
      </c>
      <c r="E516" s="119">
        <v>1153</v>
      </c>
      <c r="F516" s="118">
        <v>37</v>
      </c>
      <c r="G516" s="120">
        <v>40574</v>
      </c>
    </row>
    <row r="517" spans="1:7" x14ac:dyDescent="0.25">
      <c r="A517" s="118">
        <f>SUBTOTAL(3,$B$6:B517)</f>
        <v>512</v>
      </c>
      <c r="B517" s="118" t="s">
        <v>1591</v>
      </c>
      <c r="C517" s="118" t="s">
        <v>1592</v>
      </c>
      <c r="D517" s="118" t="s">
        <v>594</v>
      </c>
      <c r="E517" s="119">
        <v>1151</v>
      </c>
      <c r="F517" s="118">
        <v>45</v>
      </c>
      <c r="G517" s="120">
        <v>40093</v>
      </c>
    </row>
    <row r="518" spans="1:7" x14ac:dyDescent="0.25">
      <c r="A518" s="118">
        <f>SUBTOTAL(3,$B$6:B518)</f>
        <v>513</v>
      </c>
      <c r="B518" s="118" t="s">
        <v>1593</v>
      </c>
      <c r="C518" s="118" t="s">
        <v>1594</v>
      </c>
      <c r="D518" s="118" t="s">
        <v>561</v>
      </c>
      <c r="E518" s="119">
        <v>1149</v>
      </c>
      <c r="F518" s="118">
        <v>25</v>
      </c>
      <c r="G518" s="120">
        <v>43423</v>
      </c>
    </row>
    <row r="519" spans="1:7" x14ac:dyDescent="0.25">
      <c r="A519" s="118">
        <f>SUBTOTAL(3,$B$6:B519)</f>
        <v>514</v>
      </c>
      <c r="B519" s="118" t="s">
        <v>1595</v>
      </c>
      <c r="C519" s="118" t="s">
        <v>1596</v>
      </c>
      <c r="D519" s="118" t="s">
        <v>552</v>
      </c>
      <c r="E519" s="119">
        <v>1147</v>
      </c>
      <c r="F519" s="118">
        <v>27</v>
      </c>
      <c r="G519" s="120">
        <v>44043</v>
      </c>
    </row>
    <row r="520" spans="1:7" x14ac:dyDescent="0.25">
      <c r="A520" s="118">
        <f>SUBTOTAL(3,$B$6:B520)</f>
        <v>515</v>
      </c>
      <c r="B520" s="118" t="s">
        <v>1597</v>
      </c>
      <c r="C520" s="118" t="s">
        <v>1598</v>
      </c>
      <c r="D520" s="118" t="s">
        <v>543</v>
      </c>
      <c r="E520" s="119">
        <v>1146</v>
      </c>
      <c r="F520" s="118">
        <v>34</v>
      </c>
      <c r="G520" s="120">
        <v>44051</v>
      </c>
    </row>
    <row r="521" spans="1:7" x14ac:dyDescent="0.25">
      <c r="A521" s="118">
        <f>SUBTOTAL(3,$B$6:B521)</f>
        <v>516</v>
      </c>
      <c r="B521" s="118" t="s">
        <v>1599</v>
      </c>
      <c r="C521" s="118" t="s">
        <v>1600</v>
      </c>
      <c r="D521" s="118" t="s">
        <v>549</v>
      </c>
      <c r="E521" s="119">
        <v>1143</v>
      </c>
      <c r="F521" s="118">
        <v>48</v>
      </c>
      <c r="G521" s="120">
        <v>43867</v>
      </c>
    </row>
    <row r="522" spans="1:7" x14ac:dyDescent="0.25">
      <c r="A522" s="118">
        <f>SUBTOTAL(3,$B$6:B522)</f>
        <v>517</v>
      </c>
      <c r="B522" s="118" t="s">
        <v>1601</v>
      </c>
      <c r="C522" s="118" t="s">
        <v>1602</v>
      </c>
      <c r="D522" s="118" t="s">
        <v>549</v>
      </c>
      <c r="E522" s="119">
        <v>1142</v>
      </c>
      <c r="F522" s="118">
        <v>39</v>
      </c>
      <c r="G522" s="120">
        <v>40457</v>
      </c>
    </row>
    <row r="523" spans="1:7" x14ac:dyDescent="0.25">
      <c r="A523" s="118">
        <f>SUBTOTAL(3,$B$6:B523)</f>
        <v>518</v>
      </c>
      <c r="B523" s="118" t="s">
        <v>1603</v>
      </c>
      <c r="C523" s="118" t="s">
        <v>1604</v>
      </c>
      <c r="D523" s="118" t="s">
        <v>561</v>
      </c>
      <c r="E523" s="119">
        <v>1139</v>
      </c>
      <c r="F523" s="118">
        <v>39</v>
      </c>
      <c r="G523" s="120">
        <v>40501</v>
      </c>
    </row>
    <row r="524" spans="1:7" x14ac:dyDescent="0.25">
      <c r="A524" s="118">
        <f>SUBTOTAL(3,$B$6:B524)</f>
        <v>519</v>
      </c>
      <c r="B524" s="118" t="s">
        <v>1605</v>
      </c>
      <c r="C524" s="118" t="s">
        <v>1606</v>
      </c>
      <c r="D524" s="118" t="s">
        <v>654</v>
      </c>
      <c r="E524" s="119">
        <v>1138</v>
      </c>
      <c r="F524" s="118">
        <v>39</v>
      </c>
      <c r="G524" s="120">
        <v>44048</v>
      </c>
    </row>
    <row r="525" spans="1:7" x14ac:dyDescent="0.25">
      <c r="A525" s="118">
        <f>SUBTOTAL(3,$B$6:B525)</f>
        <v>520</v>
      </c>
      <c r="B525" s="118" t="s">
        <v>1607</v>
      </c>
      <c r="C525" s="118" t="s">
        <v>1608</v>
      </c>
      <c r="D525" s="118" t="s">
        <v>594</v>
      </c>
      <c r="E525" s="119">
        <v>1137</v>
      </c>
      <c r="F525" s="118">
        <v>51</v>
      </c>
      <c r="G525" s="120">
        <v>38888</v>
      </c>
    </row>
    <row r="526" spans="1:7" x14ac:dyDescent="0.25">
      <c r="A526" s="118">
        <f>SUBTOTAL(3,$B$6:B526)</f>
        <v>521</v>
      </c>
      <c r="B526" s="118" t="s">
        <v>1609</v>
      </c>
      <c r="C526" s="118" t="s">
        <v>1610</v>
      </c>
      <c r="D526" s="118" t="s">
        <v>641</v>
      </c>
      <c r="E526" s="119">
        <v>1132</v>
      </c>
      <c r="F526" s="118">
        <v>31</v>
      </c>
      <c r="G526" s="120">
        <v>40392</v>
      </c>
    </row>
    <row r="527" spans="1:7" x14ac:dyDescent="0.25">
      <c r="A527" s="118">
        <f>SUBTOTAL(3,$B$6:B527)</f>
        <v>522</v>
      </c>
      <c r="B527" s="118" t="s">
        <v>1611</v>
      </c>
      <c r="C527" s="118" t="s">
        <v>1612</v>
      </c>
      <c r="D527" s="118" t="s">
        <v>561</v>
      </c>
      <c r="E527" s="119">
        <v>1124</v>
      </c>
      <c r="F527" s="118">
        <v>36</v>
      </c>
      <c r="G527" s="120">
        <v>40633</v>
      </c>
    </row>
    <row r="528" spans="1:7" x14ac:dyDescent="0.25">
      <c r="A528" s="118">
        <f>SUBTOTAL(3,$B$6:B528)</f>
        <v>523</v>
      </c>
      <c r="B528" s="118" t="s">
        <v>1613</v>
      </c>
      <c r="C528" s="118" t="s">
        <v>1614</v>
      </c>
      <c r="D528" s="118" t="s">
        <v>591</v>
      </c>
      <c r="E528" s="119">
        <v>1123</v>
      </c>
      <c r="F528" s="118">
        <v>40</v>
      </c>
      <c r="G528" s="120">
        <v>40386</v>
      </c>
    </row>
    <row r="529" spans="1:7" x14ac:dyDescent="0.25">
      <c r="A529" s="118">
        <f>SUBTOTAL(3,$B$6:B529)</f>
        <v>524</v>
      </c>
      <c r="B529" s="118" t="s">
        <v>1615</v>
      </c>
      <c r="C529" s="118" t="s">
        <v>1616</v>
      </c>
      <c r="D529" s="118" t="s">
        <v>558</v>
      </c>
      <c r="E529" s="119">
        <v>1120</v>
      </c>
      <c r="F529" s="118">
        <v>23</v>
      </c>
      <c r="G529" s="120">
        <v>44010</v>
      </c>
    </row>
    <row r="530" spans="1:7" x14ac:dyDescent="0.25">
      <c r="A530" s="118">
        <f>SUBTOTAL(3,$B$6:B530)</f>
        <v>525</v>
      </c>
      <c r="B530" s="118" t="s">
        <v>1617</v>
      </c>
      <c r="C530" s="118" t="s">
        <v>1618</v>
      </c>
      <c r="D530" s="118" t="s">
        <v>549</v>
      </c>
      <c r="E530" s="119">
        <v>1119</v>
      </c>
      <c r="F530" s="118">
        <v>23</v>
      </c>
      <c r="G530" s="120">
        <v>43530</v>
      </c>
    </row>
    <row r="531" spans="1:7" x14ac:dyDescent="0.25">
      <c r="A531" s="118">
        <f>SUBTOTAL(3,$B$6:B531)</f>
        <v>526</v>
      </c>
      <c r="B531" s="118" t="s">
        <v>1619</v>
      </c>
      <c r="C531" s="118" t="s">
        <v>1620</v>
      </c>
      <c r="D531" s="118" t="s">
        <v>661</v>
      </c>
      <c r="E531" s="119">
        <v>1117</v>
      </c>
      <c r="F531" s="118">
        <v>39</v>
      </c>
      <c r="G531" s="120">
        <v>40485</v>
      </c>
    </row>
    <row r="532" spans="1:7" x14ac:dyDescent="0.25">
      <c r="A532" s="118">
        <f>SUBTOTAL(3,$B$6:B532)</f>
        <v>527</v>
      </c>
      <c r="B532" s="118" t="s">
        <v>1621</v>
      </c>
      <c r="C532" s="118" t="s">
        <v>1622</v>
      </c>
      <c r="D532" s="118" t="s">
        <v>564</v>
      </c>
      <c r="E532" s="119">
        <v>1116</v>
      </c>
      <c r="F532" s="118">
        <v>49</v>
      </c>
      <c r="G532" s="120">
        <v>44014</v>
      </c>
    </row>
    <row r="533" spans="1:7" x14ac:dyDescent="0.25">
      <c r="A533" s="118">
        <f>SUBTOTAL(3,$B$6:B533)</f>
        <v>528</v>
      </c>
      <c r="B533" s="118" t="s">
        <v>1623</v>
      </c>
      <c r="C533" s="118" t="s">
        <v>1624</v>
      </c>
      <c r="D533" s="118" t="s">
        <v>620</v>
      </c>
      <c r="E533" s="119">
        <v>1114</v>
      </c>
      <c r="F533" s="118">
        <v>39</v>
      </c>
      <c r="G533" s="120">
        <v>40478</v>
      </c>
    </row>
    <row r="534" spans="1:7" x14ac:dyDescent="0.25">
      <c r="A534" s="118">
        <f>SUBTOTAL(3,$B$6:B534)</f>
        <v>529</v>
      </c>
      <c r="B534" s="118" t="s">
        <v>1625</v>
      </c>
      <c r="C534" s="118" t="s">
        <v>1626</v>
      </c>
      <c r="D534" s="118" t="s">
        <v>620</v>
      </c>
      <c r="E534" s="119">
        <v>1109</v>
      </c>
      <c r="F534" s="118">
        <v>21</v>
      </c>
      <c r="G534" s="120">
        <v>43634</v>
      </c>
    </row>
    <row r="535" spans="1:7" x14ac:dyDescent="0.25">
      <c r="A535" s="118">
        <f>SUBTOTAL(3,$B$6:B535)</f>
        <v>530</v>
      </c>
      <c r="B535" s="118" t="s">
        <v>1627</v>
      </c>
      <c r="C535" s="118" t="s">
        <v>1628</v>
      </c>
      <c r="D535" s="118" t="s">
        <v>579</v>
      </c>
      <c r="E535" s="119">
        <v>1106</v>
      </c>
      <c r="F535" s="118">
        <v>25</v>
      </c>
      <c r="G535" s="120">
        <v>43384</v>
      </c>
    </row>
    <row r="536" spans="1:7" x14ac:dyDescent="0.25">
      <c r="A536" s="118">
        <f>SUBTOTAL(3,$B$6:B536)</f>
        <v>531</v>
      </c>
      <c r="B536" s="118" t="s">
        <v>1629</v>
      </c>
      <c r="C536" s="118" t="s">
        <v>1630</v>
      </c>
      <c r="D536" s="118" t="s">
        <v>564</v>
      </c>
      <c r="E536" s="119">
        <v>1106</v>
      </c>
      <c r="F536" s="118">
        <v>33</v>
      </c>
      <c r="G536" s="120">
        <v>44017</v>
      </c>
    </row>
    <row r="537" spans="1:7" x14ac:dyDescent="0.25">
      <c r="A537" s="118">
        <f>SUBTOTAL(3,$B$6:B537)</f>
        <v>532</v>
      </c>
      <c r="B537" s="118" t="s">
        <v>1631</v>
      </c>
      <c r="C537" s="118" t="s">
        <v>1632</v>
      </c>
      <c r="D537" s="118" t="s">
        <v>711</v>
      </c>
      <c r="E537" s="119">
        <v>1105</v>
      </c>
      <c r="F537" s="118">
        <v>49</v>
      </c>
      <c r="G537" s="120">
        <v>38882</v>
      </c>
    </row>
    <row r="538" spans="1:7" x14ac:dyDescent="0.25">
      <c r="A538" s="118">
        <f>SUBTOTAL(3,$B$6:B538)</f>
        <v>533</v>
      </c>
      <c r="B538" s="118" t="s">
        <v>1633</v>
      </c>
      <c r="C538" s="118" t="s">
        <v>1634</v>
      </c>
      <c r="D538" s="118" t="s">
        <v>711</v>
      </c>
      <c r="E538" s="119">
        <v>1101</v>
      </c>
      <c r="F538" s="118">
        <v>47</v>
      </c>
      <c r="G538" s="120">
        <v>39966</v>
      </c>
    </row>
    <row r="539" spans="1:7" x14ac:dyDescent="0.25">
      <c r="A539" s="118">
        <f>SUBTOTAL(3,$B$6:B539)</f>
        <v>534</v>
      </c>
      <c r="B539" s="118" t="s">
        <v>1635</v>
      </c>
      <c r="C539" s="118" t="s">
        <v>1636</v>
      </c>
      <c r="D539" s="118" t="s">
        <v>561</v>
      </c>
      <c r="E539" s="119">
        <v>1101</v>
      </c>
      <c r="F539" s="118">
        <v>35</v>
      </c>
      <c r="G539" s="120">
        <v>40211</v>
      </c>
    </row>
    <row r="540" spans="1:7" x14ac:dyDescent="0.25">
      <c r="A540" s="118">
        <f>SUBTOTAL(3,$B$6:B540)</f>
        <v>535</v>
      </c>
      <c r="B540" s="118" t="s">
        <v>1637</v>
      </c>
      <c r="C540" s="118" t="s">
        <v>1638</v>
      </c>
      <c r="D540" s="118" t="s">
        <v>609</v>
      </c>
      <c r="E540" s="119">
        <v>1093</v>
      </c>
      <c r="F540" s="118">
        <v>49</v>
      </c>
      <c r="G540" s="120">
        <v>39841</v>
      </c>
    </row>
    <row r="541" spans="1:7" x14ac:dyDescent="0.25">
      <c r="A541" s="118">
        <f>SUBTOTAL(3,$B$6:B541)</f>
        <v>536</v>
      </c>
      <c r="B541" s="118" t="s">
        <v>1639</v>
      </c>
      <c r="C541" s="118" t="s">
        <v>1640</v>
      </c>
      <c r="D541" s="118" t="s">
        <v>561</v>
      </c>
      <c r="E541" s="119">
        <v>1083</v>
      </c>
      <c r="F541" s="118">
        <v>31</v>
      </c>
      <c r="G541" s="120">
        <v>40396</v>
      </c>
    </row>
    <row r="542" spans="1:7" x14ac:dyDescent="0.25">
      <c r="A542" s="118">
        <f>SUBTOTAL(3,$B$6:B542)</f>
        <v>537</v>
      </c>
      <c r="B542" s="118" t="s">
        <v>1641</v>
      </c>
      <c r="C542" s="118" t="s">
        <v>1642</v>
      </c>
      <c r="D542" s="118" t="s">
        <v>564</v>
      </c>
      <c r="E542" s="119">
        <v>1081</v>
      </c>
      <c r="F542" s="118">
        <v>51</v>
      </c>
      <c r="G542" s="120">
        <v>44011</v>
      </c>
    </row>
    <row r="543" spans="1:7" x14ac:dyDescent="0.25">
      <c r="A543" s="118">
        <f>SUBTOTAL(3,$B$6:B543)</f>
        <v>538</v>
      </c>
      <c r="B543" s="118" t="s">
        <v>1643</v>
      </c>
      <c r="C543" s="118" t="s">
        <v>1644</v>
      </c>
      <c r="D543" s="118" t="s">
        <v>549</v>
      </c>
      <c r="E543" s="119">
        <v>1078</v>
      </c>
      <c r="F543" s="118">
        <v>39</v>
      </c>
      <c r="G543" s="120">
        <v>40456</v>
      </c>
    </row>
    <row r="544" spans="1:7" x14ac:dyDescent="0.25">
      <c r="A544" s="118">
        <f>SUBTOTAL(3,$B$6:B544)</f>
        <v>539</v>
      </c>
      <c r="B544" s="118" t="s">
        <v>1645</v>
      </c>
      <c r="C544" s="118" t="s">
        <v>1646</v>
      </c>
      <c r="D544" s="118" t="s">
        <v>552</v>
      </c>
      <c r="E544" s="119">
        <v>1075</v>
      </c>
      <c r="F544" s="118">
        <v>27</v>
      </c>
      <c r="G544" s="120">
        <v>44042</v>
      </c>
    </row>
    <row r="545" spans="1:7" x14ac:dyDescent="0.25">
      <c r="A545" s="118">
        <f>SUBTOTAL(3,$B$6:B545)</f>
        <v>540</v>
      </c>
      <c r="B545" s="118" t="s">
        <v>1647</v>
      </c>
      <c r="C545" s="118" t="s">
        <v>1648</v>
      </c>
      <c r="D545" s="118" t="s">
        <v>561</v>
      </c>
      <c r="E545" s="119">
        <v>1068</v>
      </c>
      <c r="F545" s="118">
        <v>38</v>
      </c>
      <c r="G545" s="120">
        <v>40521</v>
      </c>
    </row>
    <row r="546" spans="1:7" x14ac:dyDescent="0.25">
      <c r="A546" s="118">
        <f>SUBTOTAL(3,$B$6:B546)</f>
        <v>541</v>
      </c>
      <c r="B546" s="118" t="s">
        <v>1649</v>
      </c>
      <c r="C546" s="118" t="s">
        <v>1650</v>
      </c>
      <c r="D546" s="118" t="s">
        <v>623</v>
      </c>
      <c r="E546" s="119">
        <v>1067</v>
      </c>
      <c r="F546" s="118">
        <v>31</v>
      </c>
      <c r="G546" s="120">
        <v>44046</v>
      </c>
    </row>
    <row r="547" spans="1:7" x14ac:dyDescent="0.25">
      <c r="A547" s="118">
        <f>SUBTOTAL(3,$B$6:B547)</f>
        <v>542</v>
      </c>
      <c r="B547" s="118" t="s">
        <v>1651</v>
      </c>
      <c r="C547" s="118" t="s">
        <v>1652</v>
      </c>
      <c r="D547" s="118" t="s">
        <v>579</v>
      </c>
      <c r="E547" s="119">
        <v>1063</v>
      </c>
      <c r="F547" s="118">
        <v>31</v>
      </c>
      <c r="G547" s="120">
        <v>40409</v>
      </c>
    </row>
    <row r="548" spans="1:7" x14ac:dyDescent="0.25">
      <c r="A548" s="118">
        <f>SUBTOTAL(3,$B$6:B548)</f>
        <v>543</v>
      </c>
      <c r="B548" s="118" t="s">
        <v>1653</v>
      </c>
      <c r="C548" s="118" t="s">
        <v>1654</v>
      </c>
      <c r="D548" s="118" t="s">
        <v>549</v>
      </c>
      <c r="E548" s="119">
        <v>1063</v>
      </c>
      <c r="F548" s="118">
        <v>43</v>
      </c>
      <c r="G548" s="120">
        <v>40228</v>
      </c>
    </row>
    <row r="549" spans="1:7" x14ac:dyDescent="0.25">
      <c r="A549" s="118">
        <f>SUBTOTAL(3,$B$6:B549)</f>
        <v>544</v>
      </c>
      <c r="B549" s="118" t="s">
        <v>1655</v>
      </c>
      <c r="C549" s="118" t="s">
        <v>1656</v>
      </c>
      <c r="D549" s="118" t="s">
        <v>564</v>
      </c>
      <c r="E549" s="119">
        <v>1062</v>
      </c>
      <c r="F549" s="118">
        <v>40</v>
      </c>
      <c r="G549" s="120">
        <v>44021</v>
      </c>
    </row>
    <row r="550" spans="1:7" x14ac:dyDescent="0.25">
      <c r="A550" s="118">
        <f>SUBTOTAL(3,$B$6:B550)</f>
        <v>545</v>
      </c>
      <c r="B550" s="118" t="s">
        <v>1657</v>
      </c>
      <c r="C550" s="118" t="s">
        <v>1658</v>
      </c>
      <c r="D550" s="118" t="s">
        <v>564</v>
      </c>
      <c r="E550" s="119">
        <v>1057</v>
      </c>
      <c r="F550" s="118">
        <v>36</v>
      </c>
      <c r="G550" s="120">
        <v>44023</v>
      </c>
    </row>
    <row r="551" spans="1:7" x14ac:dyDescent="0.25">
      <c r="A551" s="118">
        <f>SUBTOTAL(3,$B$6:B551)</f>
        <v>546</v>
      </c>
      <c r="B551" s="118" t="s">
        <v>1659</v>
      </c>
      <c r="C551" s="118" t="s">
        <v>1660</v>
      </c>
      <c r="D551" s="118" t="s">
        <v>564</v>
      </c>
      <c r="E551" s="119">
        <v>1056</v>
      </c>
      <c r="F551" s="118">
        <v>35</v>
      </c>
      <c r="G551" s="120">
        <v>44016</v>
      </c>
    </row>
    <row r="552" spans="1:7" x14ac:dyDescent="0.25">
      <c r="A552" s="118">
        <f>SUBTOTAL(3,$B$6:B552)</f>
        <v>547</v>
      </c>
      <c r="B552" s="118" t="s">
        <v>1661</v>
      </c>
      <c r="C552" s="118" t="s">
        <v>1662</v>
      </c>
      <c r="D552" s="118" t="s">
        <v>564</v>
      </c>
      <c r="E552" s="119">
        <v>1052</v>
      </c>
      <c r="F552" s="118">
        <v>43</v>
      </c>
      <c r="G552" s="120">
        <v>44038</v>
      </c>
    </row>
    <row r="553" spans="1:7" x14ac:dyDescent="0.25">
      <c r="A553" s="118">
        <f>SUBTOTAL(3,$B$6:B553)</f>
        <v>548</v>
      </c>
      <c r="B553" s="118" t="s">
        <v>1663</v>
      </c>
      <c r="C553" s="118" t="s">
        <v>1664</v>
      </c>
      <c r="D553" s="118" t="s">
        <v>540</v>
      </c>
      <c r="E553" s="119">
        <v>1041</v>
      </c>
      <c r="F553" s="118">
        <v>50</v>
      </c>
      <c r="G553" s="120">
        <v>38952</v>
      </c>
    </row>
    <row r="554" spans="1:7" x14ac:dyDescent="0.25">
      <c r="A554" s="118">
        <f>SUBTOTAL(3,$B$6:B554)</f>
        <v>549</v>
      </c>
      <c r="B554" s="118" t="s">
        <v>1665</v>
      </c>
      <c r="C554" s="118" t="s">
        <v>1666</v>
      </c>
      <c r="D554" s="118" t="s">
        <v>636</v>
      </c>
      <c r="E554" s="119">
        <v>1040</v>
      </c>
      <c r="F554" s="118">
        <v>48</v>
      </c>
      <c r="G554" s="120">
        <v>44039</v>
      </c>
    </row>
    <row r="555" spans="1:7" x14ac:dyDescent="0.25">
      <c r="A555" s="118">
        <f>SUBTOTAL(3,$B$6:B555)</f>
        <v>550</v>
      </c>
      <c r="B555" s="118" t="s">
        <v>1667</v>
      </c>
      <c r="C555" s="118" t="s">
        <v>1668</v>
      </c>
      <c r="D555" s="118" t="s">
        <v>623</v>
      </c>
      <c r="E555" s="119">
        <v>1040</v>
      </c>
      <c r="F555" s="118">
        <v>35</v>
      </c>
      <c r="G555" s="120">
        <v>44045</v>
      </c>
    </row>
    <row r="556" spans="1:7" x14ac:dyDescent="0.25">
      <c r="A556" s="118">
        <f>SUBTOTAL(3,$B$6:B556)</f>
        <v>551</v>
      </c>
      <c r="B556" s="118" t="s">
        <v>1669</v>
      </c>
      <c r="C556" s="118" t="s">
        <v>1670</v>
      </c>
      <c r="D556" s="118" t="s">
        <v>641</v>
      </c>
      <c r="E556" s="119">
        <v>1033</v>
      </c>
      <c r="F556" s="118">
        <v>48</v>
      </c>
      <c r="G556" s="120">
        <v>43900</v>
      </c>
    </row>
    <row r="557" spans="1:7" x14ac:dyDescent="0.25">
      <c r="A557" s="118">
        <f>SUBTOTAL(3,$B$6:B557)</f>
        <v>552</v>
      </c>
      <c r="B557" s="118" t="s">
        <v>1671</v>
      </c>
      <c r="C557" s="118" t="s">
        <v>1672</v>
      </c>
      <c r="D557" s="118" t="s">
        <v>540</v>
      </c>
      <c r="E557" s="119">
        <v>1032</v>
      </c>
      <c r="F557" s="118">
        <v>31</v>
      </c>
      <c r="G557" s="120">
        <v>40406</v>
      </c>
    </row>
    <row r="558" spans="1:7" x14ac:dyDescent="0.25">
      <c r="A558" s="118">
        <f>SUBTOTAL(3,$B$6:B558)</f>
        <v>553</v>
      </c>
      <c r="B558" s="118" t="s">
        <v>1673</v>
      </c>
      <c r="C558" s="118" t="s">
        <v>1674</v>
      </c>
      <c r="D558" s="118" t="s">
        <v>698</v>
      </c>
      <c r="E558" s="119">
        <v>1024</v>
      </c>
      <c r="F558" s="118">
        <v>28</v>
      </c>
      <c r="G558" s="120">
        <v>43230</v>
      </c>
    </row>
    <row r="559" spans="1:7" x14ac:dyDescent="0.25">
      <c r="A559" s="118">
        <f>SUBTOTAL(3,$B$6:B559)</f>
        <v>554</v>
      </c>
      <c r="B559" s="118" t="s">
        <v>1675</v>
      </c>
      <c r="C559" s="118" t="s">
        <v>1676</v>
      </c>
      <c r="D559" s="118" t="s">
        <v>561</v>
      </c>
      <c r="E559" s="119">
        <v>1021</v>
      </c>
      <c r="F559" s="118">
        <v>39</v>
      </c>
      <c r="G559" s="120">
        <v>40508</v>
      </c>
    </row>
    <row r="560" spans="1:7" x14ac:dyDescent="0.25">
      <c r="A560" s="118">
        <f>SUBTOTAL(3,$B$6:B560)</f>
        <v>555</v>
      </c>
      <c r="B560" s="118" t="s">
        <v>1677</v>
      </c>
      <c r="C560" s="118" t="s">
        <v>1678</v>
      </c>
      <c r="D560" s="118" t="s">
        <v>561</v>
      </c>
      <c r="E560" s="119">
        <v>1018</v>
      </c>
      <c r="F560" s="118">
        <v>30</v>
      </c>
      <c r="G560" s="120">
        <v>43110</v>
      </c>
    </row>
    <row r="561" spans="1:7" x14ac:dyDescent="0.25">
      <c r="A561" s="118">
        <f>SUBTOTAL(3,$B$6:B561)</f>
        <v>556</v>
      </c>
      <c r="B561" s="118" t="s">
        <v>1679</v>
      </c>
      <c r="C561" s="118" t="s">
        <v>1680</v>
      </c>
      <c r="D561" s="118" t="s">
        <v>594</v>
      </c>
      <c r="E561" s="119">
        <v>1017</v>
      </c>
      <c r="F561" s="118">
        <v>50</v>
      </c>
      <c r="G561" s="120">
        <v>38953</v>
      </c>
    </row>
    <row r="562" spans="1:7" x14ac:dyDescent="0.25">
      <c r="A562" s="118">
        <f>SUBTOTAL(3,$B$6:B562)</f>
        <v>557</v>
      </c>
      <c r="B562" s="118" t="s">
        <v>1681</v>
      </c>
      <c r="C562" s="118" t="s">
        <v>1682</v>
      </c>
      <c r="D562" s="118" t="s">
        <v>682</v>
      </c>
      <c r="E562" s="119">
        <v>1003</v>
      </c>
      <c r="F562" s="118">
        <v>46</v>
      </c>
      <c r="G562" s="120">
        <v>40036</v>
      </c>
    </row>
    <row r="563" spans="1:7" x14ac:dyDescent="0.25">
      <c r="A563" s="118">
        <f>SUBTOTAL(3,$B$6:B563)</f>
        <v>558</v>
      </c>
      <c r="B563" s="118" t="s">
        <v>1683</v>
      </c>
      <c r="C563" s="118" t="s">
        <v>1684</v>
      </c>
      <c r="D563" s="118" t="s">
        <v>661</v>
      </c>
      <c r="E563" s="119">
        <v>997</v>
      </c>
      <c r="F563" s="118">
        <v>23</v>
      </c>
      <c r="G563" s="120">
        <v>43516</v>
      </c>
    </row>
    <row r="564" spans="1:7" x14ac:dyDescent="0.25">
      <c r="A564" s="118">
        <f>SUBTOTAL(3,$B$6:B564)</f>
        <v>559</v>
      </c>
      <c r="B564" s="118" t="s">
        <v>1685</v>
      </c>
      <c r="C564" s="118" t="s">
        <v>1686</v>
      </c>
      <c r="D564" s="118" t="s">
        <v>594</v>
      </c>
      <c r="E564" s="119">
        <v>997</v>
      </c>
      <c r="F564" s="118">
        <v>44</v>
      </c>
      <c r="G564" s="120">
        <v>40169</v>
      </c>
    </row>
    <row r="565" spans="1:7" x14ac:dyDescent="0.25">
      <c r="A565" s="118">
        <f>SUBTOTAL(3,$B$6:B565)</f>
        <v>560</v>
      </c>
      <c r="B565" s="118" t="s">
        <v>1687</v>
      </c>
      <c r="C565" s="118" t="s">
        <v>1688</v>
      </c>
      <c r="D565" s="118" t="s">
        <v>661</v>
      </c>
      <c r="E565" s="119">
        <v>986</v>
      </c>
      <c r="F565" s="118">
        <v>35</v>
      </c>
      <c r="G565" s="120">
        <v>40196</v>
      </c>
    </row>
    <row r="566" spans="1:7" x14ac:dyDescent="0.25">
      <c r="A566" s="118">
        <f>SUBTOTAL(3,$B$6:B566)</f>
        <v>561</v>
      </c>
      <c r="B566" s="118" t="s">
        <v>1689</v>
      </c>
      <c r="C566" s="118" t="s">
        <v>1690</v>
      </c>
      <c r="D566" s="118" t="s">
        <v>540</v>
      </c>
      <c r="E566" s="119">
        <v>983</v>
      </c>
      <c r="F566" s="118">
        <v>33</v>
      </c>
      <c r="G566" s="120">
        <v>40317</v>
      </c>
    </row>
    <row r="567" spans="1:7" x14ac:dyDescent="0.25">
      <c r="A567" s="118">
        <f>SUBTOTAL(3,$B$6:B567)</f>
        <v>562</v>
      </c>
      <c r="B567" s="118" t="s">
        <v>1691</v>
      </c>
      <c r="C567" s="118" t="s">
        <v>1692</v>
      </c>
      <c r="D567" s="118" t="s">
        <v>561</v>
      </c>
      <c r="E567" s="119">
        <v>982</v>
      </c>
      <c r="F567" s="118">
        <v>37</v>
      </c>
      <c r="G567" s="120">
        <v>40616</v>
      </c>
    </row>
    <row r="568" spans="1:7" x14ac:dyDescent="0.25">
      <c r="A568" s="118">
        <f>SUBTOTAL(3,$B$6:B568)</f>
        <v>563</v>
      </c>
      <c r="B568" s="118" t="s">
        <v>1693</v>
      </c>
      <c r="C568" s="118" t="s">
        <v>1694</v>
      </c>
      <c r="D568" s="118" t="s">
        <v>594</v>
      </c>
      <c r="E568" s="119">
        <v>976</v>
      </c>
      <c r="F568" s="118">
        <v>23</v>
      </c>
      <c r="G568" s="120">
        <v>43997</v>
      </c>
    </row>
    <row r="569" spans="1:7" x14ac:dyDescent="0.25">
      <c r="A569" s="118">
        <f>SUBTOTAL(3,$B$6:B569)</f>
        <v>564</v>
      </c>
      <c r="B569" s="118" t="s">
        <v>1695</v>
      </c>
      <c r="C569" s="118" t="s">
        <v>1696</v>
      </c>
      <c r="D569" s="118" t="s">
        <v>698</v>
      </c>
      <c r="E569" s="119">
        <v>965</v>
      </c>
      <c r="F569" s="118">
        <v>27</v>
      </c>
      <c r="G569" s="120">
        <v>43293</v>
      </c>
    </row>
    <row r="570" spans="1:7" x14ac:dyDescent="0.25">
      <c r="A570" s="118">
        <f>SUBTOTAL(3,$B$6:B570)</f>
        <v>565</v>
      </c>
      <c r="B570" s="118" t="s">
        <v>1697</v>
      </c>
      <c r="C570" s="118" t="s">
        <v>1698</v>
      </c>
      <c r="D570" s="118" t="s">
        <v>561</v>
      </c>
      <c r="E570" s="119">
        <v>965</v>
      </c>
      <c r="F570" s="118">
        <v>35</v>
      </c>
      <c r="G570" s="120">
        <v>40210</v>
      </c>
    </row>
    <row r="571" spans="1:7" x14ac:dyDescent="0.25">
      <c r="A571" s="118">
        <f>SUBTOTAL(3,$B$6:B571)</f>
        <v>566</v>
      </c>
      <c r="B571" s="118" t="s">
        <v>1699</v>
      </c>
      <c r="C571" s="118" t="s">
        <v>1700</v>
      </c>
      <c r="D571" s="118" t="s">
        <v>546</v>
      </c>
      <c r="E571" s="119">
        <v>961</v>
      </c>
      <c r="F571" s="118">
        <v>51</v>
      </c>
      <c r="G571" s="120">
        <v>38846</v>
      </c>
    </row>
    <row r="572" spans="1:7" x14ac:dyDescent="0.25">
      <c r="A572" s="118">
        <f>SUBTOTAL(3,$B$6:B572)</f>
        <v>567</v>
      </c>
      <c r="B572" s="118" t="s">
        <v>1701</v>
      </c>
      <c r="C572" s="118" t="s">
        <v>1702</v>
      </c>
      <c r="D572" s="118" t="s">
        <v>561</v>
      </c>
      <c r="E572" s="119">
        <v>954</v>
      </c>
      <c r="F572" s="118">
        <v>50</v>
      </c>
      <c r="G572" s="120">
        <v>38933</v>
      </c>
    </row>
    <row r="573" spans="1:7" x14ac:dyDescent="0.25">
      <c r="A573" s="118">
        <f>SUBTOTAL(3,$B$6:B573)</f>
        <v>568</v>
      </c>
      <c r="B573" s="118" t="s">
        <v>1703</v>
      </c>
      <c r="C573" s="118" t="s">
        <v>1704</v>
      </c>
      <c r="D573" s="118" t="s">
        <v>558</v>
      </c>
      <c r="E573" s="119">
        <v>953</v>
      </c>
      <c r="F573" s="118">
        <v>42</v>
      </c>
      <c r="G573" s="120">
        <v>44006</v>
      </c>
    </row>
    <row r="574" spans="1:7" x14ac:dyDescent="0.25">
      <c r="A574" s="118">
        <f>SUBTOTAL(3,$B$6:B574)</f>
        <v>569</v>
      </c>
      <c r="B574" s="118" t="s">
        <v>1705</v>
      </c>
      <c r="C574" s="118" t="s">
        <v>1706</v>
      </c>
      <c r="D574" s="118" t="s">
        <v>564</v>
      </c>
      <c r="E574" s="119">
        <v>950</v>
      </c>
      <c r="F574" s="118">
        <v>32</v>
      </c>
      <c r="G574" s="120">
        <v>44018</v>
      </c>
    </row>
    <row r="575" spans="1:7" x14ac:dyDescent="0.25">
      <c r="A575" s="118">
        <f>SUBTOTAL(3,$B$6:B575)</f>
        <v>570</v>
      </c>
      <c r="B575" s="118" t="s">
        <v>1707</v>
      </c>
      <c r="C575" s="118" t="s">
        <v>1708</v>
      </c>
      <c r="D575" s="118" t="s">
        <v>561</v>
      </c>
      <c r="E575" s="119">
        <v>939</v>
      </c>
      <c r="F575" s="118">
        <v>31</v>
      </c>
      <c r="G575" s="120">
        <v>40395</v>
      </c>
    </row>
    <row r="576" spans="1:7" x14ac:dyDescent="0.25">
      <c r="A576" s="118">
        <f>SUBTOTAL(3,$B$6:B576)</f>
        <v>571</v>
      </c>
      <c r="B576" s="118" t="s">
        <v>1709</v>
      </c>
      <c r="C576" s="118" t="s">
        <v>1710</v>
      </c>
      <c r="D576" s="118" t="s">
        <v>561</v>
      </c>
      <c r="E576" s="119">
        <v>938</v>
      </c>
      <c r="F576" s="118">
        <v>36</v>
      </c>
      <c r="G576" s="120">
        <v>40668</v>
      </c>
    </row>
    <row r="577" spans="1:7" x14ac:dyDescent="0.25">
      <c r="A577" s="118">
        <f>SUBTOTAL(3,$B$6:B577)</f>
        <v>572</v>
      </c>
      <c r="B577" s="118" t="s">
        <v>1711</v>
      </c>
      <c r="C577" s="118" t="s">
        <v>1712</v>
      </c>
      <c r="D577" s="118" t="s">
        <v>558</v>
      </c>
      <c r="E577" s="119">
        <v>930</v>
      </c>
      <c r="F577" s="118">
        <v>29</v>
      </c>
      <c r="G577" s="120">
        <v>44009</v>
      </c>
    </row>
    <row r="578" spans="1:7" x14ac:dyDescent="0.25">
      <c r="A578" s="118">
        <f>SUBTOTAL(3,$B$6:B578)</f>
        <v>573</v>
      </c>
      <c r="B578" s="118" t="s">
        <v>1713</v>
      </c>
      <c r="C578" s="118" t="s">
        <v>1714</v>
      </c>
      <c r="D578" s="118" t="s">
        <v>579</v>
      </c>
      <c r="E578" s="119">
        <v>921</v>
      </c>
      <c r="F578" s="118">
        <v>24</v>
      </c>
      <c r="G578" s="120">
        <v>43455</v>
      </c>
    </row>
    <row r="579" spans="1:7" x14ac:dyDescent="0.25">
      <c r="A579" s="118">
        <f>SUBTOTAL(3,$B$6:B579)</f>
        <v>574</v>
      </c>
      <c r="B579" s="118" t="s">
        <v>1715</v>
      </c>
      <c r="C579" s="118" t="s">
        <v>1716</v>
      </c>
      <c r="D579" s="118" t="s">
        <v>661</v>
      </c>
      <c r="E579" s="119">
        <v>918</v>
      </c>
      <c r="F579" s="118">
        <v>22</v>
      </c>
      <c r="G579" s="120">
        <v>43594</v>
      </c>
    </row>
    <row r="580" spans="1:7" x14ac:dyDescent="0.25">
      <c r="A580" s="118">
        <f>SUBTOTAL(3,$B$6:B580)</f>
        <v>575</v>
      </c>
      <c r="B580" s="118" t="s">
        <v>1717</v>
      </c>
      <c r="C580" s="118" t="s">
        <v>1718</v>
      </c>
      <c r="D580" s="118" t="s">
        <v>540</v>
      </c>
      <c r="E580" s="119">
        <v>914</v>
      </c>
      <c r="F580" s="118">
        <v>26</v>
      </c>
      <c r="G580" s="120">
        <v>43348</v>
      </c>
    </row>
    <row r="581" spans="1:7" x14ac:dyDescent="0.25">
      <c r="A581" s="118">
        <f>SUBTOTAL(3,$B$6:B581)</f>
        <v>576</v>
      </c>
      <c r="B581" s="118" t="s">
        <v>1719</v>
      </c>
      <c r="C581" s="118" t="s">
        <v>1720</v>
      </c>
      <c r="D581" s="118" t="s">
        <v>564</v>
      </c>
      <c r="E581" s="119">
        <v>911</v>
      </c>
      <c r="F581" s="118">
        <v>46</v>
      </c>
      <c r="G581" s="120">
        <v>44015</v>
      </c>
    </row>
    <row r="582" spans="1:7" x14ac:dyDescent="0.25">
      <c r="A582" s="118">
        <f>SUBTOTAL(3,$B$6:B582)</f>
        <v>577</v>
      </c>
      <c r="B582" s="118" t="s">
        <v>1721</v>
      </c>
      <c r="C582" s="118" t="s">
        <v>1722</v>
      </c>
      <c r="D582" s="118" t="s">
        <v>1332</v>
      </c>
      <c r="E582" s="119">
        <v>906</v>
      </c>
      <c r="F582" s="118">
        <v>25</v>
      </c>
      <c r="G582" s="120">
        <v>44003</v>
      </c>
    </row>
    <row r="583" spans="1:7" x14ac:dyDescent="0.25">
      <c r="A583" s="118">
        <f>SUBTOTAL(3,$B$6:B583)</f>
        <v>578</v>
      </c>
      <c r="B583" s="118" t="s">
        <v>1723</v>
      </c>
      <c r="C583" s="118" t="s">
        <v>1724</v>
      </c>
      <c r="D583" s="118" t="s">
        <v>579</v>
      </c>
      <c r="E583" s="119">
        <v>904</v>
      </c>
      <c r="F583" s="118">
        <v>40</v>
      </c>
      <c r="G583" s="120">
        <v>40385</v>
      </c>
    </row>
    <row r="584" spans="1:7" x14ac:dyDescent="0.25">
      <c r="A584" s="118">
        <f>SUBTOTAL(3,$B$6:B584)</f>
        <v>579</v>
      </c>
      <c r="B584" s="118" t="s">
        <v>1725</v>
      </c>
      <c r="C584" s="118" t="s">
        <v>1726</v>
      </c>
      <c r="D584" s="118" t="s">
        <v>579</v>
      </c>
      <c r="E584" s="119">
        <v>891</v>
      </c>
      <c r="F584" s="118">
        <v>44</v>
      </c>
      <c r="G584" s="120">
        <v>40135</v>
      </c>
    </row>
    <row r="585" spans="1:7" x14ac:dyDescent="0.25">
      <c r="A585" s="118">
        <f>SUBTOTAL(3,$B$6:B585)</f>
        <v>580</v>
      </c>
      <c r="B585" s="118" t="s">
        <v>1727</v>
      </c>
      <c r="C585" s="118" t="s">
        <v>1728</v>
      </c>
      <c r="D585" s="118" t="s">
        <v>661</v>
      </c>
      <c r="E585" s="119">
        <v>890</v>
      </c>
      <c r="F585" s="118">
        <v>37</v>
      </c>
      <c r="G585" s="120">
        <v>40585</v>
      </c>
    </row>
    <row r="586" spans="1:7" x14ac:dyDescent="0.25">
      <c r="A586" s="118">
        <f>SUBTOTAL(3,$B$6:B586)</f>
        <v>581</v>
      </c>
      <c r="B586" s="118" t="s">
        <v>1729</v>
      </c>
      <c r="C586" s="118" t="s">
        <v>1730</v>
      </c>
      <c r="D586" s="118" t="s">
        <v>561</v>
      </c>
      <c r="E586" s="119">
        <v>889</v>
      </c>
      <c r="F586" s="118">
        <v>50</v>
      </c>
      <c r="G586" s="120">
        <v>38932</v>
      </c>
    </row>
    <row r="587" spans="1:7" x14ac:dyDescent="0.25">
      <c r="A587" s="118">
        <f>SUBTOTAL(3,$B$6:B587)</f>
        <v>582</v>
      </c>
      <c r="B587" s="118" t="s">
        <v>1731</v>
      </c>
      <c r="C587" s="118" t="s">
        <v>1732</v>
      </c>
      <c r="D587" s="118" t="s">
        <v>586</v>
      </c>
      <c r="E587" s="119">
        <v>888</v>
      </c>
      <c r="F587" s="118">
        <v>35</v>
      </c>
      <c r="G587" s="120">
        <v>44058</v>
      </c>
    </row>
    <row r="588" spans="1:7" x14ac:dyDescent="0.25">
      <c r="A588" s="118">
        <f>SUBTOTAL(3,$B$6:B588)</f>
        <v>583</v>
      </c>
      <c r="B588" s="118" t="s">
        <v>1733</v>
      </c>
      <c r="C588" s="118" t="s">
        <v>1734</v>
      </c>
      <c r="D588" s="118" t="s">
        <v>564</v>
      </c>
      <c r="E588" s="119">
        <v>887</v>
      </c>
      <c r="F588" s="118">
        <v>24</v>
      </c>
      <c r="G588" s="120">
        <v>44032</v>
      </c>
    </row>
    <row r="589" spans="1:7" x14ac:dyDescent="0.25">
      <c r="A589" s="118">
        <f>SUBTOTAL(3,$B$6:B589)</f>
        <v>584</v>
      </c>
      <c r="B589" s="118" t="s">
        <v>1735</v>
      </c>
      <c r="C589" s="118" t="s">
        <v>1736</v>
      </c>
      <c r="D589" s="118" t="s">
        <v>543</v>
      </c>
      <c r="E589" s="119">
        <v>878</v>
      </c>
      <c r="F589" s="118">
        <v>33</v>
      </c>
      <c r="G589" s="120">
        <v>44052</v>
      </c>
    </row>
    <row r="590" spans="1:7" x14ac:dyDescent="0.25">
      <c r="A590" s="118">
        <f>SUBTOTAL(3,$B$6:B590)</f>
        <v>585</v>
      </c>
      <c r="B590" s="118" t="s">
        <v>1737</v>
      </c>
      <c r="C590" s="118" t="s">
        <v>1738</v>
      </c>
      <c r="D590" s="118" t="s">
        <v>695</v>
      </c>
      <c r="E590" s="119">
        <v>876</v>
      </c>
      <c r="F590" s="118">
        <v>30</v>
      </c>
      <c r="G590" s="120">
        <v>43116</v>
      </c>
    </row>
    <row r="591" spans="1:7" x14ac:dyDescent="0.25">
      <c r="A591" s="118">
        <f>SUBTOTAL(3,$B$6:B591)</f>
        <v>586</v>
      </c>
      <c r="B591" s="118" t="s">
        <v>1739</v>
      </c>
      <c r="C591" s="118" t="s">
        <v>1740</v>
      </c>
      <c r="D591" s="118" t="s">
        <v>620</v>
      </c>
      <c r="E591" s="119">
        <v>876</v>
      </c>
      <c r="F591" s="118">
        <v>43</v>
      </c>
      <c r="G591" s="120">
        <v>40224</v>
      </c>
    </row>
    <row r="592" spans="1:7" x14ac:dyDescent="0.25">
      <c r="A592" s="118">
        <f>SUBTOTAL(3,$B$6:B592)</f>
        <v>587</v>
      </c>
      <c r="B592" s="118" t="s">
        <v>1741</v>
      </c>
      <c r="C592" s="118" t="s">
        <v>1742</v>
      </c>
      <c r="D592" s="118" t="s">
        <v>641</v>
      </c>
      <c r="E592" s="119">
        <v>866</v>
      </c>
      <c r="F592" s="118">
        <v>41</v>
      </c>
      <c r="G592" s="120">
        <v>40325</v>
      </c>
    </row>
    <row r="593" spans="1:7" x14ac:dyDescent="0.25">
      <c r="A593" s="118">
        <f>SUBTOTAL(3,$B$6:B593)</f>
        <v>588</v>
      </c>
      <c r="B593" s="118" t="s">
        <v>1743</v>
      </c>
      <c r="C593" s="118" t="s">
        <v>1744</v>
      </c>
      <c r="D593" s="118" t="s">
        <v>711</v>
      </c>
      <c r="E593" s="119">
        <v>865</v>
      </c>
      <c r="F593" s="118">
        <v>41</v>
      </c>
      <c r="G593" s="120">
        <v>40361</v>
      </c>
    </row>
    <row r="594" spans="1:7" x14ac:dyDescent="0.25">
      <c r="A594" s="118">
        <f>SUBTOTAL(3,$B$6:B594)</f>
        <v>589</v>
      </c>
      <c r="B594" s="118" t="s">
        <v>1745</v>
      </c>
      <c r="C594" s="118" t="s">
        <v>1746</v>
      </c>
      <c r="D594" s="118" t="s">
        <v>564</v>
      </c>
      <c r="E594" s="119">
        <v>862</v>
      </c>
      <c r="F594" s="118">
        <v>29</v>
      </c>
      <c r="G594" s="120">
        <v>44026</v>
      </c>
    </row>
    <row r="595" spans="1:7" x14ac:dyDescent="0.25">
      <c r="A595" s="118">
        <f>SUBTOTAL(3,$B$6:B595)</f>
        <v>590</v>
      </c>
      <c r="B595" s="118" t="s">
        <v>1747</v>
      </c>
      <c r="C595" s="118" t="s">
        <v>1748</v>
      </c>
      <c r="D595" s="118" t="s">
        <v>561</v>
      </c>
      <c r="E595" s="119">
        <v>859</v>
      </c>
      <c r="F595" s="118">
        <v>39</v>
      </c>
      <c r="G595" s="120">
        <v>40450</v>
      </c>
    </row>
    <row r="596" spans="1:7" x14ac:dyDescent="0.25">
      <c r="A596" s="118">
        <f>SUBTOTAL(3,$B$6:B596)</f>
        <v>591</v>
      </c>
      <c r="B596" s="118" t="s">
        <v>1749</v>
      </c>
      <c r="C596" s="118" t="s">
        <v>1750</v>
      </c>
      <c r="D596" s="118" t="s">
        <v>549</v>
      </c>
      <c r="E596" s="119">
        <v>850</v>
      </c>
      <c r="F596" s="118">
        <v>45</v>
      </c>
      <c r="G596" s="120">
        <v>40074</v>
      </c>
    </row>
    <row r="597" spans="1:7" x14ac:dyDescent="0.25">
      <c r="A597" s="118">
        <f>SUBTOTAL(3,$B$6:B597)</f>
        <v>592</v>
      </c>
      <c r="B597" s="118" t="s">
        <v>1751</v>
      </c>
      <c r="C597" s="118" t="s">
        <v>1752</v>
      </c>
      <c r="D597" s="118" t="s">
        <v>661</v>
      </c>
      <c r="E597" s="119">
        <v>841</v>
      </c>
      <c r="F597" s="118">
        <v>25</v>
      </c>
      <c r="G597" s="120">
        <v>43403</v>
      </c>
    </row>
    <row r="598" spans="1:7" x14ac:dyDescent="0.25">
      <c r="A598" s="118">
        <f>SUBTOTAL(3,$B$6:B598)</f>
        <v>593</v>
      </c>
      <c r="B598" s="118" t="s">
        <v>1753</v>
      </c>
      <c r="C598" s="118" t="s">
        <v>1754</v>
      </c>
      <c r="D598" s="118" t="s">
        <v>594</v>
      </c>
      <c r="E598" s="119">
        <v>834</v>
      </c>
      <c r="F598" s="118">
        <v>22</v>
      </c>
      <c r="G598" s="120">
        <v>43998</v>
      </c>
    </row>
    <row r="599" spans="1:7" x14ac:dyDescent="0.25">
      <c r="A599" s="118">
        <f>SUBTOTAL(3,$B$6:B599)</f>
        <v>594</v>
      </c>
      <c r="B599" s="118" t="s">
        <v>1755</v>
      </c>
      <c r="C599" s="118" t="s">
        <v>1756</v>
      </c>
      <c r="D599" s="118" t="s">
        <v>594</v>
      </c>
      <c r="E599" s="119">
        <v>832</v>
      </c>
      <c r="F599" s="118">
        <v>21</v>
      </c>
      <c r="G599" s="120">
        <v>43999</v>
      </c>
    </row>
    <row r="600" spans="1:7" x14ac:dyDescent="0.25">
      <c r="A600" s="118">
        <f>SUBTOTAL(3,$B$6:B600)</f>
        <v>595</v>
      </c>
      <c r="B600" s="118" t="s">
        <v>1757</v>
      </c>
      <c r="C600" s="118" t="s">
        <v>1758</v>
      </c>
      <c r="D600" s="118" t="s">
        <v>901</v>
      </c>
      <c r="E600" s="119">
        <v>828</v>
      </c>
      <c r="F600" s="118">
        <v>24</v>
      </c>
      <c r="G600" s="120">
        <v>44055</v>
      </c>
    </row>
    <row r="601" spans="1:7" x14ac:dyDescent="0.25">
      <c r="A601" s="118">
        <f>SUBTOTAL(3,$B$6:B601)</f>
        <v>596</v>
      </c>
      <c r="B601" s="118" t="s">
        <v>1759</v>
      </c>
      <c r="C601" s="118" t="s">
        <v>1760</v>
      </c>
      <c r="D601" s="118" t="s">
        <v>734</v>
      </c>
      <c r="E601" s="119">
        <v>822</v>
      </c>
      <c r="F601" s="118">
        <v>49</v>
      </c>
      <c r="G601" s="120">
        <v>44000</v>
      </c>
    </row>
    <row r="602" spans="1:7" x14ac:dyDescent="0.25">
      <c r="A602" s="118">
        <f>SUBTOTAL(3,$B$6:B602)</f>
        <v>597</v>
      </c>
      <c r="B602" s="118" t="s">
        <v>1761</v>
      </c>
      <c r="C602" s="118" t="s">
        <v>1762</v>
      </c>
      <c r="D602" s="118" t="s">
        <v>549</v>
      </c>
      <c r="E602" s="119">
        <v>818</v>
      </c>
      <c r="F602" s="118">
        <v>40</v>
      </c>
      <c r="G602" s="120">
        <v>40380</v>
      </c>
    </row>
    <row r="603" spans="1:7" x14ac:dyDescent="0.25">
      <c r="A603" s="118">
        <f>SUBTOTAL(3,$B$6:B603)</f>
        <v>598</v>
      </c>
      <c r="B603" s="118" t="s">
        <v>1763</v>
      </c>
      <c r="C603" s="118" t="s">
        <v>1764</v>
      </c>
      <c r="D603" s="118" t="s">
        <v>561</v>
      </c>
      <c r="E603" s="119">
        <v>816</v>
      </c>
      <c r="F603" s="118">
        <v>50</v>
      </c>
      <c r="G603" s="120">
        <v>38940</v>
      </c>
    </row>
    <row r="604" spans="1:7" x14ac:dyDescent="0.25">
      <c r="A604" s="118">
        <f>SUBTOTAL(3,$B$6:B604)</f>
        <v>599</v>
      </c>
      <c r="B604" s="118" t="s">
        <v>1765</v>
      </c>
      <c r="C604" s="118" t="s">
        <v>1766</v>
      </c>
      <c r="D604" s="118" t="s">
        <v>552</v>
      </c>
      <c r="E604" s="119">
        <v>808</v>
      </c>
      <c r="F604" s="118">
        <v>27</v>
      </c>
      <c r="G604" s="120">
        <v>44044</v>
      </c>
    </row>
    <row r="605" spans="1:7" x14ac:dyDescent="0.25">
      <c r="A605" s="118">
        <f>SUBTOTAL(3,$B$6:B605)</f>
        <v>600</v>
      </c>
      <c r="B605" s="118" t="s">
        <v>1767</v>
      </c>
      <c r="C605" s="118" t="s">
        <v>1768</v>
      </c>
      <c r="D605" s="118" t="s">
        <v>564</v>
      </c>
      <c r="E605" s="119">
        <v>805</v>
      </c>
      <c r="F605" s="118">
        <v>32</v>
      </c>
      <c r="G605" s="120">
        <v>44019</v>
      </c>
    </row>
    <row r="606" spans="1:7" x14ac:dyDescent="0.25">
      <c r="A606" s="118">
        <f>SUBTOTAL(3,$B$6:B606)</f>
        <v>601</v>
      </c>
      <c r="B606" s="118" t="s">
        <v>1769</v>
      </c>
      <c r="C606" s="118" t="s">
        <v>1770</v>
      </c>
      <c r="D606" s="118" t="s">
        <v>561</v>
      </c>
      <c r="E606" s="119">
        <v>801</v>
      </c>
      <c r="F606" s="118">
        <v>37</v>
      </c>
      <c r="G606" s="120">
        <v>40613</v>
      </c>
    </row>
    <row r="607" spans="1:7" x14ac:dyDescent="0.25">
      <c r="A607" s="118">
        <f>SUBTOTAL(3,$B$6:B607)</f>
        <v>602</v>
      </c>
      <c r="B607" s="118" t="s">
        <v>1771</v>
      </c>
      <c r="C607" s="118" t="s">
        <v>1772</v>
      </c>
      <c r="D607" s="118" t="s">
        <v>549</v>
      </c>
      <c r="E607" s="119">
        <v>797</v>
      </c>
      <c r="F607" s="118">
        <v>47</v>
      </c>
      <c r="G607" s="120">
        <v>39965</v>
      </c>
    </row>
    <row r="608" spans="1:7" x14ac:dyDescent="0.25">
      <c r="A608" s="118">
        <f>SUBTOTAL(3,$B$6:B608)</f>
        <v>603</v>
      </c>
      <c r="B608" s="118" t="s">
        <v>1773</v>
      </c>
      <c r="C608" s="118" t="s">
        <v>1774</v>
      </c>
      <c r="D608" s="118" t="s">
        <v>564</v>
      </c>
      <c r="E608" s="119">
        <v>795</v>
      </c>
      <c r="F608" s="118">
        <v>21</v>
      </c>
      <c r="G608" s="120">
        <v>44037</v>
      </c>
    </row>
    <row r="609" spans="1:7" x14ac:dyDescent="0.25">
      <c r="A609" s="118">
        <f>SUBTOTAL(3,$B$6:B609)</f>
        <v>604</v>
      </c>
      <c r="B609" s="118" t="s">
        <v>1775</v>
      </c>
      <c r="C609" s="118" t="s">
        <v>1776</v>
      </c>
      <c r="D609" s="118" t="s">
        <v>572</v>
      </c>
      <c r="E609" s="119">
        <v>794</v>
      </c>
      <c r="F609" s="118">
        <v>49</v>
      </c>
      <c r="G609" s="120">
        <v>38353</v>
      </c>
    </row>
    <row r="610" spans="1:7" x14ac:dyDescent="0.25">
      <c r="A610" s="118">
        <f>SUBTOTAL(3,$B$6:B610)</f>
        <v>605</v>
      </c>
      <c r="B610" s="118" t="s">
        <v>1777</v>
      </c>
      <c r="C610" s="118" t="s">
        <v>1778</v>
      </c>
      <c r="D610" s="118" t="s">
        <v>561</v>
      </c>
      <c r="E610" s="119">
        <v>789</v>
      </c>
      <c r="F610" s="118">
        <v>28</v>
      </c>
      <c r="G610" s="120">
        <v>43241</v>
      </c>
    </row>
    <row r="611" spans="1:7" x14ac:dyDescent="0.25">
      <c r="A611" s="118">
        <f>SUBTOTAL(3,$B$6:B611)</f>
        <v>606</v>
      </c>
      <c r="B611" s="118" t="s">
        <v>1779</v>
      </c>
      <c r="C611" s="118" t="s">
        <v>1780</v>
      </c>
      <c r="D611" s="118" t="s">
        <v>561</v>
      </c>
      <c r="E611" s="119">
        <v>788</v>
      </c>
      <c r="F611" s="118">
        <v>38</v>
      </c>
      <c r="G611" s="120">
        <v>40522</v>
      </c>
    </row>
    <row r="612" spans="1:7" x14ac:dyDescent="0.25">
      <c r="A612" s="118">
        <f>SUBTOTAL(3,$B$6:B612)</f>
        <v>607</v>
      </c>
      <c r="B612" s="118" t="s">
        <v>1781</v>
      </c>
      <c r="C612" s="118" t="s">
        <v>1782</v>
      </c>
      <c r="D612" s="118" t="s">
        <v>661</v>
      </c>
      <c r="E612" s="119">
        <v>786</v>
      </c>
      <c r="F612" s="118">
        <v>46</v>
      </c>
      <c r="G612" s="120">
        <v>40039</v>
      </c>
    </row>
    <row r="613" spans="1:7" x14ac:dyDescent="0.25">
      <c r="A613" s="118">
        <f>SUBTOTAL(3,$B$6:B613)</f>
        <v>608</v>
      </c>
      <c r="B613" s="118" t="s">
        <v>1783</v>
      </c>
      <c r="C613" s="118" t="s">
        <v>1784</v>
      </c>
      <c r="D613" s="118" t="s">
        <v>552</v>
      </c>
      <c r="E613" s="119">
        <v>785</v>
      </c>
      <c r="F613" s="118">
        <v>38</v>
      </c>
      <c r="G613" s="120">
        <v>44041</v>
      </c>
    </row>
    <row r="614" spans="1:7" x14ac:dyDescent="0.25">
      <c r="A614" s="118">
        <f>SUBTOTAL(3,$B$6:B614)</f>
        <v>609</v>
      </c>
      <c r="B614" s="118" t="s">
        <v>1785</v>
      </c>
      <c r="C614" s="118" t="s">
        <v>1786</v>
      </c>
      <c r="D614" s="118" t="s">
        <v>620</v>
      </c>
      <c r="E614" s="119">
        <v>783</v>
      </c>
      <c r="F614" s="118">
        <v>47</v>
      </c>
      <c r="G614" s="120">
        <v>39987</v>
      </c>
    </row>
    <row r="615" spans="1:7" x14ac:dyDescent="0.25">
      <c r="A615" s="118">
        <f>SUBTOTAL(3,$B$6:B615)</f>
        <v>610</v>
      </c>
      <c r="B615" s="118" t="s">
        <v>1787</v>
      </c>
      <c r="C615" s="118" t="s">
        <v>1788</v>
      </c>
      <c r="D615" s="118" t="s">
        <v>695</v>
      </c>
      <c r="E615" s="119">
        <v>780</v>
      </c>
      <c r="F615" s="118">
        <v>36</v>
      </c>
      <c r="G615" s="120">
        <v>40641</v>
      </c>
    </row>
    <row r="616" spans="1:7" x14ac:dyDescent="0.25">
      <c r="A616" s="118">
        <f>SUBTOTAL(3,$B$6:B616)</f>
        <v>611</v>
      </c>
      <c r="B616" s="118" t="s">
        <v>1789</v>
      </c>
      <c r="C616" s="118" t="s">
        <v>1790</v>
      </c>
      <c r="D616" s="118" t="s">
        <v>600</v>
      </c>
      <c r="E616" s="119">
        <v>769</v>
      </c>
      <c r="F616" s="118">
        <v>41</v>
      </c>
      <c r="G616" s="120">
        <v>40323</v>
      </c>
    </row>
    <row r="617" spans="1:7" x14ac:dyDescent="0.25">
      <c r="A617" s="118">
        <f>SUBTOTAL(3,$B$6:B617)</f>
        <v>612</v>
      </c>
      <c r="B617" s="118" t="s">
        <v>1791</v>
      </c>
      <c r="C617" s="118" t="s">
        <v>1792</v>
      </c>
      <c r="D617" s="118" t="s">
        <v>572</v>
      </c>
      <c r="E617" s="119">
        <v>767</v>
      </c>
      <c r="F617" s="118">
        <v>43</v>
      </c>
      <c r="G617" s="120">
        <v>40196</v>
      </c>
    </row>
    <row r="618" spans="1:7" x14ac:dyDescent="0.25">
      <c r="A618" s="118">
        <f>SUBTOTAL(3,$B$6:B618)</f>
        <v>613</v>
      </c>
      <c r="B618" s="118" t="s">
        <v>1793</v>
      </c>
      <c r="C618" s="118" t="s">
        <v>1794</v>
      </c>
      <c r="D618" s="118" t="s">
        <v>698</v>
      </c>
      <c r="E618" s="119">
        <v>764</v>
      </c>
      <c r="F618" s="118">
        <v>44</v>
      </c>
      <c r="G618" s="120">
        <v>40163</v>
      </c>
    </row>
    <row r="619" spans="1:7" x14ac:dyDescent="0.25">
      <c r="A619" s="118">
        <f>SUBTOTAL(3,$B$6:B619)</f>
        <v>614</v>
      </c>
      <c r="B619" s="118" t="s">
        <v>1795</v>
      </c>
      <c r="C619" s="118" t="s">
        <v>1796</v>
      </c>
      <c r="D619" s="118" t="s">
        <v>561</v>
      </c>
      <c r="E619" s="119">
        <v>763</v>
      </c>
      <c r="F619" s="118">
        <v>35</v>
      </c>
      <c r="G619" s="120">
        <v>40214</v>
      </c>
    </row>
    <row r="620" spans="1:7" x14ac:dyDescent="0.25">
      <c r="A620" s="118">
        <f>SUBTOTAL(3,$B$6:B620)</f>
        <v>615</v>
      </c>
      <c r="B620" s="118" t="s">
        <v>1797</v>
      </c>
      <c r="C620" s="118" t="s">
        <v>1798</v>
      </c>
      <c r="D620" s="118" t="s">
        <v>549</v>
      </c>
      <c r="E620" s="119">
        <v>751</v>
      </c>
      <c r="F620" s="118">
        <v>46</v>
      </c>
      <c r="G620" s="120">
        <v>40049</v>
      </c>
    </row>
    <row r="621" spans="1:7" x14ac:dyDescent="0.25">
      <c r="A621" s="118">
        <f>SUBTOTAL(3,$B$6:B621)</f>
        <v>616</v>
      </c>
      <c r="B621" s="118" t="s">
        <v>1799</v>
      </c>
      <c r="C621" s="118" t="s">
        <v>1800</v>
      </c>
      <c r="D621" s="118" t="s">
        <v>561</v>
      </c>
      <c r="E621" s="119">
        <v>751</v>
      </c>
      <c r="F621" s="118">
        <v>39</v>
      </c>
      <c r="G621" s="120">
        <v>40506</v>
      </c>
    </row>
    <row r="622" spans="1:7" x14ac:dyDescent="0.25">
      <c r="A622" s="118">
        <f>SUBTOTAL(3,$B$6:B622)</f>
        <v>617</v>
      </c>
      <c r="B622" s="118" t="s">
        <v>1801</v>
      </c>
      <c r="C622" s="118" t="s">
        <v>1802</v>
      </c>
      <c r="D622" s="118" t="s">
        <v>609</v>
      </c>
      <c r="E622" s="119">
        <v>749</v>
      </c>
      <c r="F622" s="118">
        <v>49</v>
      </c>
      <c r="G622" s="120">
        <v>44062</v>
      </c>
    </row>
    <row r="623" spans="1:7" x14ac:dyDescent="0.25">
      <c r="A623" s="118">
        <f>SUBTOTAL(3,$B$6:B623)</f>
        <v>618</v>
      </c>
      <c r="B623" s="118" t="s">
        <v>1803</v>
      </c>
      <c r="C623" s="118" t="s">
        <v>1804</v>
      </c>
      <c r="D623" s="118" t="s">
        <v>564</v>
      </c>
      <c r="E623" s="119">
        <v>739</v>
      </c>
      <c r="F623" s="118">
        <v>22</v>
      </c>
      <c r="G623" s="120">
        <v>44036</v>
      </c>
    </row>
    <row r="624" spans="1:7" x14ac:dyDescent="0.25">
      <c r="A624" s="118">
        <f>SUBTOTAL(3,$B$6:B624)</f>
        <v>619</v>
      </c>
      <c r="B624" s="118" t="s">
        <v>1805</v>
      </c>
      <c r="C624" s="118" t="s">
        <v>1806</v>
      </c>
      <c r="D624" s="118" t="s">
        <v>586</v>
      </c>
      <c r="E624" s="119">
        <v>738</v>
      </c>
      <c r="F624" s="118">
        <v>22</v>
      </c>
      <c r="G624" s="120">
        <v>44061</v>
      </c>
    </row>
    <row r="625" spans="1:7" x14ac:dyDescent="0.25">
      <c r="A625" s="118">
        <f>SUBTOTAL(3,$B$6:B625)</f>
        <v>620</v>
      </c>
      <c r="B625" s="118" t="s">
        <v>1807</v>
      </c>
      <c r="C625" s="118" t="s">
        <v>1808</v>
      </c>
      <c r="D625" s="118" t="s">
        <v>594</v>
      </c>
      <c r="E625" s="119">
        <v>737</v>
      </c>
      <c r="F625" s="118">
        <v>44</v>
      </c>
      <c r="G625" s="120">
        <v>40164</v>
      </c>
    </row>
    <row r="626" spans="1:7" x14ac:dyDescent="0.25">
      <c r="A626" s="118">
        <f>SUBTOTAL(3,$B$6:B626)</f>
        <v>621</v>
      </c>
      <c r="B626" s="118" t="s">
        <v>1809</v>
      </c>
      <c r="C626" s="118" t="s">
        <v>1810</v>
      </c>
      <c r="D626" s="118" t="s">
        <v>591</v>
      </c>
      <c r="E626" s="119">
        <v>730</v>
      </c>
      <c r="F626" s="118">
        <v>48</v>
      </c>
      <c r="G626" s="120">
        <v>39910</v>
      </c>
    </row>
    <row r="627" spans="1:7" x14ac:dyDescent="0.25">
      <c r="A627" s="118">
        <f>SUBTOTAL(3,$B$6:B627)</f>
        <v>622</v>
      </c>
      <c r="B627" s="118" t="s">
        <v>1811</v>
      </c>
      <c r="C627" s="118" t="s">
        <v>1812</v>
      </c>
      <c r="D627" s="118" t="s">
        <v>572</v>
      </c>
      <c r="E627" s="119">
        <v>728</v>
      </c>
      <c r="F627" s="118">
        <v>44</v>
      </c>
      <c r="G627" s="120">
        <v>40114</v>
      </c>
    </row>
    <row r="628" spans="1:7" x14ac:dyDescent="0.25">
      <c r="A628" s="118">
        <f>SUBTOTAL(3,$B$6:B628)</f>
        <v>623</v>
      </c>
      <c r="B628" s="118" t="s">
        <v>1813</v>
      </c>
      <c r="C628" s="118" t="s">
        <v>1814</v>
      </c>
      <c r="D628" s="118" t="s">
        <v>661</v>
      </c>
      <c r="E628" s="119">
        <v>724</v>
      </c>
      <c r="F628" s="118">
        <v>32</v>
      </c>
      <c r="G628" s="120">
        <v>40364</v>
      </c>
    </row>
    <row r="629" spans="1:7" x14ac:dyDescent="0.25">
      <c r="A629" s="118">
        <f>SUBTOTAL(3,$B$6:B629)</f>
        <v>624</v>
      </c>
      <c r="B629" s="118" t="s">
        <v>1815</v>
      </c>
      <c r="C629" s="118" t="s">
        <v>1816</v>
      </c>
      <c r="D629" s="118" t="s">
        <v>609</v>
      </c>
      <c r="E629" s="119">
        <v>713</v>
      </c>
      <c r="F629" s="118">
        <v>43</v>
      </c>
      <c r="G629" s="120">
        <v>40207</v>
      </c>
    </row>
    <row r="630" spans="1:7" x14ac:dyDescent="0.25">
      <c r="A630" s="118">
        <f>SUBTOTAL(3,$B$6:B630)</f>
        <v>625</v>
      </c>
      <c r="B630" s="118" t="s">
        <v>1817</v>
      </c>
      <c r="C630" s="118" t="s">
        <v>1818</v>
      </c>
      <c r="D630" s="118" t="s">
        <v>567</v>
      </c>
      <c r="E630" s="119">
        <v>702</v>
      </c>
      <c r="F630" s="118">
        <v>45</v>
      </c>
      <c r="G630" s="120">
        <v>40107</v>
      </c>
    </row>
    <row r="631" spans="1:7" x14ac:dyDescent="0.25">
      <c r="A631" s="118">
        <f>SUBTOTAL(3,$B$6:B631)</f>
        <v>626</v>
      </c>
      <c r="B631" s="118" t="s">
        <v>1819</v>
      </c>
      <c r="C631" s="118" t="s">
        <v>1820</v>
      </c>
      <c r="D631" s="118" t="s">
        <v>641</v>
      </c>
      <c r="E631" s="119">
        <v>697</v>
      </c>
      <c r="F631" s="118">
        <v>33</v>
      </c>
      <c r="G631" s="120">
        <v>40277</v>
      </c>
    </row>
    <row r="632" spans="1:7" x14ac:dyDescent="0.25">
      <c r="A632" s="118">
        <f>SUBTOTAL(3,$B$6:B632)</f>
        <v>627</v>
      </c>
      <c r="B632" s="118" t="s">
        <v>1821</v>
      </c>
      <c r="C632" s="118" t="s">
        <v>1822</v>
      </c>
      <c r="D632" s="118" t="s">
        <v>682</v>
      </c>
      <c r="E632" s="119">
        <v>695</v>
      </c>
      <c r="F632" s="118">
        <v>33</v>
      </c>
      <c r="G632" s="120">
        <v>40289</v>
      </c>
    </row>
    <row r="633" spans="1:7" x14ac:dyDescent="0.25">
      <c r="A633" s="118">
        <f>SUBTOTAL(3,$B$6:B633)</f>
        <v>628</v>
      </c>
      <c r="B633" s="118" t="s">
        <v>1823</v>
      </c>
      <c r="C633" s="118" t="s">
        <v>1824</v>
      </c>
      <c r="D633" s="118" t="s">
        <v>597</v>
      </c>
      <c r="E633" s="119">
        <v>682</v>
      </c>
      <c r="F633" s="118">
        <v>26</v>
      </c>
      <c r="G633" s="120">
        <v>43326</v>
      </c>
    </row>
    <row r="634" spans="1:7" x14ac:dyDescent="0.25">
      <c r="A634" s="118">
        <f>SUBTOTAL(3,$B$6:B634)</f>
        <v>629</v>
      </c>
      <c r="B634" s="118" t="s">
        <v>1825</v>
      </c>
      <c r="C634" s="118" t="s">
        <v>1826</v>
      </c>
      <c r="D634" s="118" t="s">
        <v>540</v>
      </c>
      <c r="E634" s="119">
        <v>680</v>
      </c>
      <c r="F634" s="118">
        <v>34</v>
      </c>
      <c r="G634" s="120">
        <v>40262</v>
      </c>
    </row>
    <row r="635" spans="1:7" x14ac:dyDescent="0.25">
      <c r="A635" s="118">
        <f>SUBTOTAL(3,$B$6:B635)</f>
        <v>630</v>
      </c>
      <c r="B635" s="118" t="s">
        <v>1827</v>
      </c>
      <c r="C635" s="118" t="s">
        <v>1828</v>
      </c>
      <c r="D635" s="118" t="s">
        <v>564</v>
      </c>
      <c r="E635" s="119">
        <v>675</v>
      </c>
      <c r="F635" s="118">
        <v>25</v>
      </c>
      <c r="G635" s="120">
        <v>44030</v>
      </c>
    </row>
    <row r="636" spans="1:7" x14ac:dyDescent="0.25">
      <c r="A636" s="118">
        <f>SUBTOTAL(3,$B$6:B636)</f>
        <v>631</v>
      </c>
      <c r="B636" s="118" t="s">
        <v>1829</v>
      </c>
      <c r="C636" s="118" t="s">
        <v>1830</v>
      </c>
      <c r="D636" s="118" t="s">
        <v>558</v>
      </c>
      <c r="E636" s="119">
        <v>673</v>
      </c>
      <c r="F636" s="118">
        <v>46</v>
      </c>
      <c r="G636" s="120">
        <v>44005</v>
      </c>
    </row>
    <row r="637" spans="1:7" x14ac:dyDescent="0.25">
      <c r="A637" s="118">
        <f>SUBTOTAL(3,$B$6:B637)</f>
        <v>632</v>
      </c>
      <c r="B637" s="118" t="s">
        <v>1831</v>
      </c>
      <c r="C637" s="118" t="s">
        <v>1832</v>
      </c>
      <c r="D637" s="118" t="s">
        <v>586</v>
      </c>
      <c r="E637" s="119">
        <v>669</v>
      </c>
      <c r="F637" s="118">
        <v>47</v>
      </c>
      <c r="G637" s="120">
        <v>44057</v>
      </c>
    </row>
    <row r="638" spans="1:7" x14ac:dyDescent="0.25">
      <c r="A638" s="118">
        <f>SUBTOTAL(3,$B$6:B638)</f>
        <v>633</v>
      </c>
      <c r="B638" s="118" t="s">
        <v>1833</v>
      </c>
      <c r="C638" s="118" t="s">
        <v>1834</v>
      </c>
      <c r="D638" s="118" t="s">
        <v>636</v>
      </c>
      <c r="E638" s="119">
        <v>667</v>
      </c>
      <c r="F638" s="118">
        <v>46</v>
      </c>
      <c r="G638" s="120">
        <v>44040</v>
      </c>
    </row>
    <row r="639" spans="1:7" x14ac:dyDescent="0.25">
      <c r="A639" s="118">
        <f>SUBTOTAL(3,$B$6:B639)</f>
        <v>634</v>
      </c>
      <c r="B639" s="118" t="s">
        <v>1835</v>
      </c>
      <c r="C639" s="118" t="s">
        <v>1836</v>
      </c>
      <c r="D639" s="118" t="s">
        <v>561</v>
      </c>
      <c r="E639" s="119">
        <v>664</v>
      </c>
      <c r="F639" s="118">
        <v>27</v>
      </c>
      <c r="G639" s="120">
        <v>43305</v>
      </c>
    </row>
    <row r="640" spans="1:7" x14ac:dyDescent="0.25">
      <c r="A640" s="118">
        <f>SUBTOTAL(3,$B$6:B640)</f>
        <v>635</v>
      </c>
      <c r="B640" s="118" t="s">
        <v>1837</v>
      </c>
      <c r="C640" s="118" t="s">
        <v>1838</v>
      </c>
      <c r="D640" s="118" t="s">
        <v>546</v>
      </c>
      <c r="E640" s="119">
        <v>656</v>
      </c>
      <c r="F640" s="118">
        <v>34</v>
      </c>
      <c r="G640" s="120">
        <v>40224</v>
      </c>
    </row>
    <row r="641" spans="1:7" x14ac:dyDescent="0.25">
      <c r="A641" s="118">
        <f>SUBTOTAL(3,$B$6:B641)</f>
        <v>636</v>
      </c>
      <c r="B641" s="118" t="s">
        <v>1839</v>
      </c>
      <c r="C641" s="118" t="s">
        <v>1840</v>
      </c>
      <c r="D641" s="118" t="s">
        <v>594</v>
      </c>
      <c r="E641" s="119">
        <v>650</v>
      </c>
      <c r="F641" s="118">
        <v>48</v>
      </c>
      <c r="G641" s="120">
        <v>39932</v>
      </c>
    </row>
    <row r="642" spans="1:7" x14ac:dyDescent="0.25">
      <c r="A642" s="118">
        <f>SUBTOTAL(3,$B$6:B642)</f>
        <v>637</v>
      </c>
      <c r="B642" s="118" t="s">
        <v>1841</v>
      </c>
      <c r="C642" s="118" t="s">
        <v>1842</v>
      </c>
      <c r="D642" s="118" t="s">
        <v>561</v>
      </c>
      <c r="E642" s="119">
        <v>649</v>
      </c>
      <c r="F642" s="118">
        <v>41</v>
      </c>
      <c r="G642" s="120">
        <v>40364</v>
      </c>
    </row>
    <row r="643" spans="1:7" x14ac:dyDescent="0.25">
      <c r="A643" s="118">
        <f>SUBTOTAL(3,$B$6:B643)</f>
        <v>638</v>
      </c>
      <c r="B643" s="118" t="s">
        <v>1843</v>
      </c>
      <c r="C643" s="118" t="s">
        <v>1844</v>
      </c>
      <c r="D643" s="118" t="s">
        <v>641</v>
      </c>
      <c r="E643" s="119">
        <v>644</v>
      </c>
      <c r="F643" s="118">
        <v>42</v>
      </c>
      <c r="G643" s="120">
        <v>40260</v>
      </c>
    </row>
    <row r="644" spans="1:7" x14ac:dyDescent="0.25">
      <c r="A644" s="118">
        <f>SUBTOTAL(3,$B$6:B644)</f>
        <v>639</v>
      </c>
      <c r="B644" s="118" t="s">
        <v>1845</v>
      </c>
      <c r="C644" s="118" t="s">
        <v>1846</v>
      </c>
      <c r="D644" s="118" t="s">
        <v>641</v>
      </c>
      <c r="E644" s="119">
        <v>644</v>
      </c>
      <c r="F644" s="118">
        <v>35</v>
      </c>
      <c r="G644" s="120">
        <v>40203</v>
      </c>
    </row>
    <row r="645" spans="1:7" x14ac:dyDescent="0.25">
      <c r="A645" s="118">
        <f>SUBTOTAL(3,$B$6:B645)</f>
        <v>640</v>
      </c>
      <c r="B645" s="118" t="s">
        <v>1847</v>
      </c>
      <c r="C645" s="118" t="s">
        <v>1848</v>
      </c>
      <c r="D645" s="118" t="s">
        <v>661</v>
      </c>
      <c r="E645" s="119">
        <v>642</v>
      </c>
      <c r="F645" s="118">
        <v>44</v>
      </c>
      <c r="G645" s="120">
        <v>40156</v>
      </c>
    </row>
    <row r="646" spans="1:7" x14ac:dyDescent="0.25">
      <c r="A646" s="118">
        <f>SUBTOTAL(3,$B$6:B646)</f>
        <v>641</v>
      </c>
      <c r="B646" s="118" t="s">
        <v>1849</v>
      </c>
      <c r="C646" s="118" t="s">
        <v>1850</v>
      </c>
      <c r="D646" s="118" t="s">
        <v>600</v>
      </c>
      <c r="E646" s="119">
        <v>639</v>
      </c>
      <c r="F646" s="118">
        <v>34</v>
      </c>
      <c r="G646" s="120">
        <v>40218</v>
      </c>
    </row>
    <row r="647" spans="1:7" x14ac:dyDescent="0.25">
      <c r="A647" s="118">
        <f>SUBTOTAL(3,$B$6:B647)</f>
        <v>642</v>
      </c>
      <c r="B647" s="118" t="s">
        <v>1851</v>
      </c>
      <c r="C647" s="118" t="s">
        <v>1852</v>
      </c>
      <c r="D647" s="118" t="s">
        <v>579</v>
      </c>
      <c r="E647" s="119">
        <v>637</v>
      </c>
      <c r="F647" s="118">
        <v>51</v>
      </c>
      <c r="G647" s="120">
        <v>38860</v>
      </c>
    </row>
    <row r="648" spans="1:7" x14ac:dyDescent="0.25">
      <c r="A648" s="118">
        <f>SUBTOTAL(3,$B$6:B648)</f>
        <v>643</v>
      </c>
      <c r="B648" s="118" t="s">
        <v>1853</v>
      </c>
      <c r="C648" s="118" t="s">
        <v>1854</v>
      </c>
      <c r="D648" s="118" t="s">
        <v>540</v>
      </c>
      <c r="E648" s="119">
        <v>631</v>
      </c>
      <c r="F648" s="118">
        <v>42</v>
      </c>
      <c r="G648" s="120">
        <v>40266</v>
      </c>
    </row>
    <row r="649" spans="1:7" x14ac:dyDescent="0.25">
      <c r="A649" s="118">
        <f>SUBTOTAL(3,$B$6:B649)</f>
        <v>644</v>
      </c>
      <c r="B649" s="118" t="s">
        <v>1855</v>
      </c>
      <c r="C649" s="118" t="s">
        <v>1856</v>
      </c>
      <c r="D649" s="118" t="s">
        <v>564</v>
      </c>
      <c r="E649" s="119">
        <v>631</v>
      </c>
      <c r="F649" s="118">
        <v>23</v>
      </c>
      <c r="G649" s="120">
        <v>44035</v>
      </c>
    </row>
    <row r="650" spans="1:7" x14ac:dyDescent="0.25">
      <c r="A650" s="118">
        <f>SUBTOTAL(3,$B$6:B650)</f>
        <v>645</v>
      </c>
      <c r="B650" s="118" t="s">
        <v>1857</v>
      </c>
      <c r="C650" s="118" t="s">
        <v>1858</v>
      </c>
      <c r="D650" s="118" t="s">
        <v>609</v>
      </c>
      <c r="E650" s="119">
        <v>630</v>
      </c>
      <c r="F650" s="118">
        <v>44</v>
      </c>
      <c r="G650" s="120">
        <v>40134</v>
      </c>
    </row>
    <row r="651" spans="1:7" x14ac:dyDescent="0.25">
      <c r="A651" s="118">
        <f>SUBTOTAL(3,$B$6:B651)</f>
        <v>646</v>
      </c>
      <c r="B651" s="118" t="s">
        <v>1859</v>
      </c>
      <c r="C651" s="118" t="s">
        <v>1860</v>
      </c>
      <c r="D651" s="118" t="s">
        <v>641</v>
      </c>
      <c r="E651" s="119">
        <v>624</v>
      </c>
      <c r="F651" s="118">
        <v>44</v>
      </c>
      <c r="G651" s="120">
        <v>40175</v>
      </c>
    </row>
    <row r="652" spans="1:7" x14ac:dyDescent="0.25">
      <c r="A652" s="118">
        <f>SUBTOTAL(3,$B$6:B652)</f>
        <v>647</v>
      </c>
      <c r="B652" s="118" t="s">
        <v>1861</v>
      </c>
      <c r="C652" s="118" t="s">
        <v>1862</v>
      </c>
      <c r="D652" s="118" t="s">
        <v>549</v>
      </c>
      <c r="E652" s="119">
        <v>610</v>
      </c>
      <c r="F652" s="118">
        <v>38</v>
      </c>
      <c r="G652" s="120">
        <v>40525</v>
      </c>
    </row>
    <row r="653" spans="1:7" x14ac:dyDescent="0.25">
      <c r="A653" s="118">
        <f>SUBTOTAL(3,$B$6:B653)</f>
        <v>648</v>
      </c>
      <c r="B653" s="118" t="s">
        <v>1863</v>
      </c>
      <c r="C653" s="118" t="s">
        <v>1864</v>
      </c>
      <c r="D653" s="118" t="s">
        <v>564</v>
      </c>
      <c r="E653" s="119">
        <v>606</v>
      </c>
      <c r="F653" s="118">
        <v>28</v>
      </c>
      <c r="G653" s="120">
        <v>44028</v>
      </c>
    </row>
    <row r="654" spans="1:7" x14ac:dyDescent="0.25">
      <c r="A654" s="118">
        <f>SUBTOTAL(3,$B$6:B654)</f>
        <v>649</v>
      </c>
      <c r="B654" s="118" t="s">
        <v>1865</v>
      </c>
      <c r="C654" s="118" t="s">
        <v>1866</v>
      </c>
      <c r="D654" s="118" t="s">
        <v>543</v>
      </c>
      <c r="E654" s="119">
        <v>601</v>
      </c>
      <c r="F654" s="118">
        <v>24</v>
      </c>
      <c r="G654" s="120">
        <v>44054</v>
      </c>
    </row>
    <row r="655" spans="1:7" x14ac:dyDescent="0.25">
      <c r="A655" s="118">
        <f>SUBTOTAL(3,$B$6:B655)</f>
        <v>650</v>
      </c>
      <c r="B655" s="118" t="s">
        <v>1867</v>
      </c>
      <c r="C655" s="118" t="s">
        <v>1868</v>
      </c>
      <c r="D655" s="118" t="s">
        <v>620</v>
      </c>
      <c r="E655" s="119">
        <v>596</v>
      </c>
      <c r="F655" s="118">
        <v>29</v>
      </c>
      <c r="G655" s="120">
        <v>43171</v>
      </c>
    </row>
    <row r="656" spans="1:7" x14ac:dyDescent="0.25">
      <c r="A656" s="118">
        <f>SUBTOTAL(3,$B$6:B656)</f>
        <v>651</v>
      </c>
      <c r="B656" s="118" t="s">
        <v>1869</v>
      </c>
      <c r="C656" s="118" t="s">
        <v>1870</v>
      </c>
      <c r="D656" s="118" t="s">
        <v>661</v>
      </c>
      <c r="E656" s="119">
        <v>594</v>
      </c>
      <c r="F656" s="118">
        <v>31</v>
      </c>
      <c r="G656" s="120">
        <v>40424</v>
      </c>
    </row>
    <row r="657" spans="1:7" x14ac:dyDescent="0.25">
      <c r="A657" s="118">
        <f>SUBTOTAL(3,$B$6:B657)</f>
        <v>652</v>
      </c>
      <c r="B657" s="118" t="s">
        <v>1871</v>
      </c>
      <c r="C657" s="118" t="s">
        <v>1872</v>
      </c>
      <c r="D657" s="118" t="s">
        <v>594</v>
      </c>
      <c r="E657" s="119">
        <v>580</v>
      </c>
      <c r="F657" s="118">
        <v>44</v>
      </c>
      <c r="G657" s="120">
        <v>40171</v>
      </c>
    </row>
    <row r="658" spans="1:7" x14ac:dyDescent="0.25">
      <c r="A658" s="118">
        <f>SUBTOTAL(3,$B$6:B658)</f>
        <v>653</v>
      </c>
      <c r="B658" s="118" t="s">
        <v>1873</v>
      </c>
      <c r="C658" s="118" t="s">
        <v>1874</v>
      </c>
      <c r="D658" s="118" t="s">
        <v>620</v>
      </c>
      <c r="E658" s="119">
        <v>573</v>
      </c>
      <c r="F658" s="118">
        <v>31</v>
      </c>
      <c r="G658" s="120">
        <v>40435</v>
      </c>
    </row>
    <row r="659" spans="1:7" x14ac:dyDescent="0.25">
      <c r="A659" s="118">
        <f>SUBTOTAL(3,$B$6:B659)</f>
        <v>654</v>
      </c>
      <c r="B659" s="118" t="s">
        <v>1875</v>
      </c>
      <c r="C659" s="118" t="s">
        <v>1876</v>
      </c>
      <c r="D659" s="118" t="s">
        <v>682</v>
      </c>
      <c r="E659" s="119">
        <v>564</v>
      </c>
      <c r="F659" s="118">
        <v>31</v>
      </c>
      <c r="G659" s="120">
        <v>40417</v>
      </c>
    </row>
    <row r="660" spans="1:7" x14ac:dyDescent="0.25">
      <c r="A660" s="118">
        <f>SUBTOTAL(3,$B$6:B660)</f>
        <v>655</v>
      </c>
      <c r="B660" s="118" t="s">
        <v>1877</v>
      </c>
      <c r="C660" s="118" t="s">
        <v>1878</v>
      </c>
      <c r="D660" s="118" t="s">
        <v>561</v>
      </c>
      <c r="E660" s="119">
        <v>561</v>
      </c>
      <c r="F660" s="118">
        <v>49</v>
      </c>
      <c r="G660" s="120">
        <v>39849</v>
      </c>
    </row>
    <row r="661" spans="1:7" x14ac:dyDescent="0.25">
      <c r="A661" s="118">
        <f>SUBTOTAL(3,$B$6:B661)</f>
        <v>656</v>
      </c>
      <c r="B661" s="118" t="s">
        <v>1879</v>
      </c>
      <c r="C661" s="118" t="s">
        <v>1880</v>
      </c>
      <c r="D661" s="118" t="s">
        <v>579</v>
      </c>
      <c r="E661" s="119">
        <v>558</v>
      </c>
      <c r="F661" s="118">
        <v>27</v>
      </c>
      <c r="G661" s="120">
        <v>43277</v>
      </c>
    </row>
    <row r="662" spans="1:7" x14ac:dyDescent="0.25">
      <c r="A662" s="118">
        <f>SUBTOTAL(3,$B$6:B662)</f>
        <v>657</v>
      </c>
      <c r="B662" s="118" t="s">
        <v>1881</v>
      </c>
      <c r="C662" s="118" t="s">
        <v>1882</v>
      </c>
      <c r="D662" s="118" t="s">
        <v>564</v>
      </c>
      <c r="E662" s="119">
        <v>558</v>
      </c>
      <c r="F662" s="118">
        <v>36</v>
      </c>
      <c r="G662" s="120">
        <v>44024</v>
      </c>
    </row>
    <row r="663" spans="1:7" x14ac:dyDescent="0.25">
      <c r="A663" s="118">
        <f>SUBTOTAL(3,$B$6:B663)</f>
        <v>658</v>
      </c>
      <c r="B663" s="118" t="s">
        <v>1883</v>
      </c>
      <c r="C663" s="118" t="s">
        <v>1884</v>
      </c>
      <c r="D663" s="118" t="s">
        <v>540</v>
      </c>
      <c r="E663" s="119">
        <v>555</v>
      </c>
      <c r="F663" s="118">
        <v>42</v>
      </c>
      <c r="G663" s="120">
        <v>40267</v>
      </c>
    </row>
    <row r="664" spans="1:7" x14ac:dyDescent="0.25">
      <c r="A664" s="118">
        <f>SUBTOTAL(3,$B$6:B664)</f>
        <v>659</v>
      </c>
      <c r="B664" s="118" t="s">
        <v>1885</v>
      </c>
      <c r="C664" s="118" t="s">
        <v>1886</v>
      </c>
      <c r="D664" s="118" t="s">
        <v>558</v>
      </c>
      <c r="E664" s="119">
        <v>546</v>
      </c>
      <c r="F664" s="118">
        <v>47</v>
      </c>
      <c r="G664" s="120">
        <v>44004</v>
      </c>
    </row>
    <row r="665" spans="1:7" x14ac:dyDescent="0.25">
      <c r="A665" s="118">
        <f>SUBTOTAL(3,$B$6:B665)</f>
        <v>660</v>
      </c>
      <c r="B665" s="118" t="s">
        <v>1887</v>
      </c>
      <c r="C665" s="118" t="s">
        <v>1888</v>
      </c>
      <c r="D665" s="118" t="s">
        <v>564</v>
      </c>
      <c r="E665" s="119">
        <v>539</v>
      </c>
      <c r="F665" s="118">
        <v>25</v>
      </c>
      <c r="G665" s="120">
        <v>44029</v>
      </c>
    </row>
    <row r="666" spans="1:7" x14ac:dyDescent="0.25">
      <c r="A666" s="118">
        <f>SUBTOTAL(3,$B$6:B666)</f>
        <v>661</v>
      </c>
      <c r="B666" s="118" t="s">
        <v>1889</v>
      </c>
      <c r="C666" s="118" t="s">
        <v>1890</v>
      </c>
      <c r="D666" s="118" t="s">
        <v>564</v>
      </c>
      <c r="E666" s="119">
        <v>532</v>
      </c>
      <c r="F666" s="118">
        <v>23</v>
      </c>
      <c r="G666" s="120">
        <v>44034</v>
      </c>
    </row>
    <row r="667" spans="1:7" x14ac:dyDescent="0.25">
      <c r="A667" s="118">
        <f>SUBTOTAL(3,$B$6:B667)</f>
        <v>662</v>
      </c>
      <c r="B667" s="118" t="s">
        <v>1891</v>
      </c>
      <c r="C667" s="118" t="s">
        <v>1892</v>
      </c>
      <c r="D667" s="118" t="s">
        <v>597</v>
      </c>
      <c r="E667" s="119">
        <v>530</v>
      </c>
      <c r="F667" s="118">
        <v>47</v>
      </c>
      <c r="G667" s="120">
        <v>39968</v>
      </c>
    </row>
    <row r="668" spans="1:7" x14ac:dyDescent="0.25">
      <c r="A668" s="118">
        <f>SUBTOTAL(3,$B$6:B668)</f>
        <v>663</v>
      </c>
      <c r="B668" s="118" t="s">
        <v>1893</v>
      </c>
      <c r="C668" s="118" t="s">
        <v>1894</v>
      </c>
      <c r="D668" s="118" t="s">
        <v>594</v>
      </c>
      <c r="E668" s="119">
        <v>529</v>
      </c>
      <c r="F668" s="118">
        <v>44</v>
      </c>
      <c r="G668" s="120">
        <v>40165</v>
      </c>
    </row>
    <row r="669" spans="1:7" x14ac:dyDescent="0.25">
      <c r="A669" s="118">
        <f>SUBTOTAL(3,$B$6:B669)</f>
        <v>664</v>
      </c>
      <c r="B669" s="118" t="s">
        <v>1895</v>
      </c>
      <c r="C669" s="118" t="s">
        <v>1896</v>
      </c>
      <c r="D669" s="118" t="s">
        <v>561</v>
      </c>
      <c r="E669" s="119">
        <v>527</v>
      </c>
      <c r="F669" s="118">
        <v>42</v>
      </c>
      <c r="G669" s="120">
        <v>40308</v>
      </c>
    </row>
    <row r="670" spans="1:7" x14ac:dyDescent="0.25">
      <c r="A670" s="118">
        <f>SUBTOTAL(3,$B$6:B670)</f>
        <v>665</v>
      </c>
      <c r="B670" s="118" t="s">
        <v>1897</v>
      </c>
      <c r="C670" s="118" t="s">
        <v>1898</v>
      </c>
      <c r="D670" s="118" t="s">
        <v>540</v>
      </c>
      <c r="E670" s="119">
        <v>523</v>
      </c>
      <c r="F670" s="118">
        <v>33</v>
      </c>
      <c r="G670" s="120">
        <v>40312</v>
      </c>
    </row>
    <row r="671" spans="1:7" x14ac:dyDescent="0.25">
      <c r="A671" s="118">
        <f>SUBTOTAL(3,$B$6:B671)</f>
        <v>666</v>
      </c>
      <c r="B671" s="118" t="s">
        <v>1899</v>
      </c>
      <c r="C671" s="118" t="s">
        <v>1900</v>
      </c>
      <c r="D671" s="118" t="s">
        <v>564</v>
      </c>
      <c r="E671" s="119">
        <v>519</v>
      </c>
      <c r="F671" s="118">
        <v>50</v>
      </c>
      <c r="G671" s="120">
        <v>44013</v>
      </c>
    </row>
    <row r="672" spans="1:7" x14ac:dyDescent="0.25">
      <c r="A672" s="118">
        <f>SUBTOTAL(3,$B$6:B672)</f>
        <v>667</v>
      </c>
      <c r="B672" s="118" t="s">
        <v>1901</v>
      </c>
      <c r="C672" s="118" t="s">
        <v>1902</v>
      </c>
      <c r="D672" s="118" t="s">
        <v>549</v>
      </c>
      <c r="E672" s="119">
        <v>518</v>
      </c>
      <c r="F672" s="118">
        <v>44</v>
      </c>
      <c r="G672" s="120">
        <v>40130</v>
      </c>
    </row>
    <row r="673" spans="1:7" x14ac:dyDescent="0.25">
      <c r="A673" s="118">
        <f>SUBTOTAL(3,$B$6:B673)</f>
        <v>668</v>
      </c>
      <c r="B673" s="118" t="s">
        <v>1903</v>
      </c>
      <c r="C673" s="118" t="s">
        <v>1904</v>
      </c>
      <c r="D673" s="118" t="s">
        <v>901</v>
      </c>
      <c r="E673" s="119">
        <v>517</v>
      </c>
      <c r="F673" s="118">
        <v>21</v>
      </c>
      <c r="G673" s="120">
        <v>44056</v>
      </c>
    </row>
    <row r="674" spans="1:7" x14ac:dyDescent="0.25">
      <c r="A674" s="118">
        <f>SUBTOTAL(3,$B$6:B674)</f>
        <v>669</v>
      </c>
      <c r="B674" s="118" t="s">
        <v>1905</v>
      </c>
      <c r="C674" s="118" t="s">
        <v>1906</v>
      </c>
      <c r="D674" s="118" t="s">
        <v>546</v>
      </c>
      <c r="E674" s="119">
        <v>511</v>
      </c>
      <c r="F674" s="118">
        <v>33</v>
      </c>
      <c r="G674" s="120">
        <v>40274</v>
      </c>
    </row>
    <row r="675" spans="1:7" x14ac:dyDescent="0.25">
      <c r="A675" s="118">
        <f>SUBTOTAL(3,$B$6:B675)</f>
        <v>670</v>
      </c>
      <c r="B675" s="118" t="s">
        <v>1907</v>
      </c>
      <c r="C675" s="118" t="s">
        <v>1908</v>
      </c>
      <c r="D675" s="118" t="s">
        <v>600</v>
      </c>
      <c r="E675" s="119">
        <v>2884</v>
      </c>
      <c r="F675" s="118">
        <v>46</v>
      </c>
      <c r="G675" s="120">
        <v>40063</v>
      </c>
    </row>
    <row r="676" spans="1:7" x14ac:dyDescent="0.25">
      <c r="A676" s="118">
        <f>SUBTOTAL(3,$B$6:B676)</f>
        <v>671</v>
      </c>
      <c r="B676" s="118" t="s">
        <v>1909</v>
      </c>
      <c r="C676" s="118" t="s">
        <v>1910</v>
      </c>
      <c r="D676" s="118" t="s">
        <v>600</v>
      </c>
      <c r="E676" s="119">
        <v>590</v>
      </c>
      <c r="F676" s="118">
        <v>48</v>
      </c>
      <c r="G676" s="120">
        <v>39952</v>
      </c>
    </row>
    <row r="677" spans="1:7" x14ac:dyDescent="0.25">
      <c r="A677" s="118">
        <f>SUBTOTAL(3,$B$6:B677)</f>
        <v>672</v>
      </c>
      <c r="B677" s="118" t="s">
        <v>1911</v>
      </c>
      <c r="C677" s="118" t="s">
        <v>1912</v>
      </c>
      <c r="D677" s="118" t="s">
        <v>600</v>
      </c>
      <c r="E677" s="119">
        <v>1230</v>
      </c>
      <c r="F677" s="118">
        <v>48</v>
      </c>
      <c r="G677" s="120">
        <v>39951</v>
      </c>
    </row>
    <row r="678" spans="1:7" x14ac:dyDescent="0.25">
      <c r="A678" s="118">
        <f>SUBTOTAL(3,$B$6:B678)</f>
        <v>673</v>
      </c>
      <c r="B678" s="118" t="s">
        <v>1913</v>
      </c>
      <c r="C678" s="118" t="s">
        <v>1914</v>
      </c>
      <c r="D678" s="118" t="s">
        <v>600</v>
      </c>
      <c r="E678" s="119">
        <v>1082</v>
      </c>
      <c r="F678" s="118">
        <v>50</v>
      </c>
      <c r="G678" s="120">
        <v>39822</v>
      </c>
    </row>
    <row r="679" spans="1:7" x14ac:dyDescent="0.25">
      <c r="A679" s="118">
        <f>SUBTOTAL(3,$B$6:B679)</f>
        <v>674</v>
      </c>
      <c r="B679" s="118" t="s">
        <v>1915</v>
      </c>
      <c r="C679" s="118" t="s">
        <v>1916</v>
      </c>
      <c r="D679" s="118" t="s">
        <v>600</v>
      </c>
      <c r="E679" s="119">
        <v>2549</v>
      </c>
      <c r="F679" s="118">
        <v>51</v>
      </c>
      <c r="G679" s="120">
        <v>38903</v>
      </c>
    </row>
    <row r="680" spans="1:7" x14ac:dyDescent="0.25">
      <c r="A680" s="118">
        <f>SUBTOTAL(3,$B$6:B680)</f>
        <v>675</v>
      </c>
      <c r="B680" s="118" t="s">
        <v>1917</v>
      </c>
      <c r="C680" s="118" t="s">
        <v>1918</v>
      </c>
      <c r="D680" s="118" t="s">
        <v>711</v>
      </c>
      <c r="E680" s="119">
        <v>1407</v>
      </c>
      <c r="F680" s="118">
        <v>47</v>
      </c>
      <c r="G680" s="120">
        <v>40011</v>
      </c>
    </row>
    <row r="681" spans="1:7" x14ac:dyDescent="0.25">
      <c r="A681" s="118">
        <f>SUBTOTAL(3,$B$6:B681)</f>
        <v>676</v>
      </c>
      <c r="B681" s="118" t="s">
        <v>1919</v>
      </c>
      <c r="C681" s="118" t="s">
        <v>1920</v>
      </c>
      <c r="D681" s="118" t="s">
        <v>623</v>
      </c>
      <c r="E681" s="119">
        <v>2579</v>
      </c>
      <c r="F681" s="118">
        <v>38</v>
      </c>
      <c r="G681" s="120">
        <v>40560</v>
      </c>
    </row>
    <row r="682" spans="1:7" x14ac:dyDescent="0.25">
      <c r="A682" s="118">
        <f>SUBTOTAL(3,$B$6:B682)</f>
        <v>677</v>
      </c>
      <c r="B682" s="118" t="s">
        <v>1921</v>
      </c>
      <c r="C682" s="118" t="s">
        <v>1922</v>
      </c>
      <c r="D682" s="118" t="s">
        <v>561</v>
      </c>
      <c r="E682" s="119">
        <v>766</v>
      </c>
      <c r="F682" s="118">
        <v>37</v>
      </c>
      <c r="G682" s="120">
        <v>40623</v>
      </c>
    </row>
    <row r="683" spans="1:7" x14ac:dyDescent="0.25">
      <c r="A683" s="118">
        <f>SUBTOTAL(3,$B$6:B683)</f>
        <v>678</v>
      </c>
      <c r="B683" s="118" t="s">
        <v>1923</v>
      </c>
      <c r="C683" s="118" t="s">
        <v>1924</v>
      </c>
      <c r="D683" s="118" t="s">
        <v>561</v>
      </c>
      <c r="E683" s="119">
        <v>1070</v>
      </c>
      <c r="F683" s="118">
        <v>37</v>
      </c>
      <c r="G683" s="120">
        <v>40620</v>
      </c>
    </row>
    <row r="684" spans="1:7" x14ac:dyDescent="0.25">
      <c r="A684" s="118">
        <f>SUBTOTAL(3,$B$6:B684)</f>
        <v>679</v>
      </c>
      <c r="B684" s="118" t="s">
        <v>1925</v>
      </c>
      <c r="C684" s="118" t="s">
        <v>1926</v>
      </c>
      <c r="D684" s="118" t="s">
        <v>561</v>
      </c>
      <c r="E684" s="119">
        <v>2665</v>
      </c>
      <c r="F684" s="118">
        <v>37</v>
      </c>
      <c r="G684" s="120">
        <v>40619</v>
      </c>
    </row>
    <row r="685" spans="1:7" x14ac:dyDescent="0.25">
      <c r="A685" s="118">
        <f>SUBTOTAL(3,$B$6:B685)</f>
        <v>680</v>
      </c>
      <c r="B685" s="118" t="s">
        <v>1927</v>
      </c>
      <c r="C685" s="118" t="s">
        <v>1928</v>
      </c>
      <c r="D685" s="118" t="s">
        <v>561</v>
      </c>
      <c r="E685" s="119">
        <v>2241</v>
      </c>
      <c r="F685" s="118">
        <v>38</v>
      </c>
      <c r="G685" s="120">
        <v>40561</v>
      </c>
    </row>
    <row r="686" spans="1:7" x14ac:dyDescent="0.25">
      <c r="A686" s="118">
        <f>SUBTOTAL(3,$B$6:B686)</f>
        <v>681</v>
      </c>
      <c r="B686" s="118" t="s">
        <v>1929</v>
      </c>
      <c r="C686" s="118" t="s">
        <v>1930</v>
      </c>
      <c r="D686" s="118" t="s">
        <v>561</v>
      </c>
      <c r="E686" s="119">
        <v>2768</v>
      </c>
      <c r="F686" s="118">
        <v>39</v>
      </c>
      <c r="G686" s="120">
        <v>40513</v>
      </c>
    </row>
    <row r="687" spans="1:7" x14ac:dyDescent="0.25">
      <c r="A687" s="118">
        <f>SUBTOTAL(3,$B$6:B687)</f>
        <v>682</v>
      </c>
      <c r="B687" s="118" t="s">
        <v>1931</v>
      </c>
      <c r="C687" s="118" t="s">
        <v>1932</v>
      </c>
      <c r="D687" s="118" t="s">
        <v>561</v>
      </c>
      <c r="E687" s="119">
        <v>2906</v>
      </c>
      <c r="F687" s="118">
        <v>40</v>
      </c>
      <c r="G687" s="120">
        <v>40438</v>
      </c>
    </row>
    <row r="688" spans="1:7" x14ac:dyDescent="0.25">
      <c r="A688" s="118">
        <f>SUBTOTAL(3,$B$6:B688)</f>
        <v>683</v>
      </c>
      <c r="B688" s="118" t="s">
        <v>1933</v>
      </c>
      <c r="C688" s="118" t="s">
        <v>1934</v>
      </c>
      <c r="D688" s="118" t="s">
        <v>561</v>
      </c>
      <c r="E688" s="119">
        <v>963</v>
      </c>
      <c r="F688" s="118">
        <v>40</v>
      </c>
      <c r="G688" s="120">
        <v>40437</v>
      </c>
    </row>
    <row r="689" spans="1:7" x14ac:dyDescent="0.25">
      <c r="A689" s="118">
        <f>SUBTOTAL(3,$B$6:B689)</f>
        <v>684</v>
      </c>
      <c r="B689" s="118" t="s">
        <v>1935</v>
      </c>
      <c r="C689" s="118" t="s">
        <v>1936</v>
      </c>
      <c r="D689" s="118" t="s">
        <v>561</v>
      </c>
      <c r="E689" s="119">
        <v>750</v>
      </c>
      <c r="F689" s="118">
        <v>35</v>
      </c>
      <c r="G689" s="120">
        <v>40217</v>
      </c>
    </row>
    <row r="690" spans="1:7" x14ac:dyDescent="0.25">
      <c r="A690" s="118">
        <f>SUBTOTAL(3,$B$6:B690)</f>
        <v>685</v>
      </c>
      <c r="B690" s="118" t="s">
        <v>1937</v>
      </c>
      <c r="C690" s="118" t="s">
        <v>1938</v>
      </c>
      <c r="D690" s="118" t="s">
        <v>561</v>
      </c>
      <c r="E690" s="119">
        <v>2744</v>
      </c>
      <c r="F690" s="118">
        <v>47</v>
      </c>
      <c r="G690" s="120">
        <v>40015</v>
      </c>
    </row>
    <row r="691" spans="1:7" x14ac:dyDescent="0.25">
      <c r="A691" s="118">
        <f>SUBTOTAL(3,$B$6:B691)</f>
        <v>686</v>
      </c>
      <c r="B691" s="118" t="s">
        <v>1939</v>
      </c>
      <c r="C691" s="118" t="s">
        <v>1940</v>
      </c>
      <c r="D691" s="118" t="s">
        <v>594</v>
      </c>
      <c r="E691" s="119">
        <v>509</v>
      </c>
      <c r="F691" s="118">
        <v>46</v>
      </c>
      <c r="G691" s="120">
        <v>40052</v>
      </c>
    </row>
    <row r="692" spans="1:7" x14ac:dyDescent="0.25">
      <c r="A692" s="118">
        <f>SUBTOTAL(3,$B$6:B692)</f>
        <v>687</v>
      </c>
      <c r="B692" s="118" t="s">
        <v>1941</v>
      </c>
      <c r="C692" s="118" t="s">
        <v>1942</v>
      </c>
      <c r="D692" s="118" t="s">
        <v>711</v>
      </c>
      <c r="E692" s="119">
        <v>506</v>
      </c>
      <c r="F692" s="118">
        <v>46</v>
      </c>
      <c r="G692" s="120">
        <v>40016</v>
      </c>
    </row>
    <row r="693" spans="1:7" x14ac:dyDescent="0.25">
      <c r="G693" s="114"/>
    </row>
    <row r="694" spans="1:7" x14ac:dyDescent="0.25">
      <c r="G694" s="114"/>
    </row>
    <row r="695" spans="1:7" x14ac:dyDescent="0.25">
      <c r="G695" s="114"/>
    </row>
  </sheetData>
  <dataValidations count="1">
    <dataValidation type="whole" allowBlank="1" showInputMessage="1" showErrorMessage="1" sqref="C696:C711 C5:C692" xr:uid="{FB3A82B1-EC12-45CC-A6F8-CCBD71591F9F}">
      <formula1>10</formula1>
      <formula2>20</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35B9D-7D23-4E09-8CC3-4BED120645D6}">
  <sheetPr>
    <tabColor theme="8"/>
  </sheetPr>
  <dimension ref="A1:D2343"/>
  <sheetViews>
    <sheetView workbookViewId="0">
      <selection activeCell="I19" sqref="I19"/>
    </sheetView>
  </sheetViews>
  <sheetFormatPr defaultRowHeight="14.4" x14ac:dyDescent="0.3"/>
  <cols>
    <col min="1" max="4" width="18.6640625" customWidth="1"/>
  </cols>
  <sheetData>
    <row r="1" spans="1:4" ht="20.25" customHeight="1" x14ac:dyDescent="0.3">
      <c r="A1" s="146" t="s">
        <v>1943</v>
      </c>
      <c r="B1" s="146"/>
      <c r="C1" s="146"/>
      <c r="D1" s="146"/>
    </row>
    <row r="2" spans="1:4" ht="21.75" customHeight="1" x14ac:dyDescent="0.3">
      <c r="A2" s="147"/>
      <c r="B2" s="148"/>
      <c r="C2" s="148"/>
      <c r="D2" s="149"/>
    </row>
    <row r="3" spans="1:4" ht="15" customHeight="1" x14ac:dyDescent="0.3">
      <c r="A3" s="150"/>
      <c r="B3" s="150"/>
      <c r="C3" s="150"/>
      <c r="D3" s="150"/>
    </row>
    <row r="4" spans="1:4" x14ac:dyDescent="0.3">
      <c r="A4" t="s">
        <v>1944</v>
      </c>
      <c r="B4" t="s">
        <v>67</v>
      </c>
      <c r="C4" t="s">
        <v>1945</v>
      </c>
      <c r="D4" t="s">
        <v>1946</v>
      </c>
    </row>
    <row r="5" spans="1:4" x14ac:dyDescent="0.3">
      <c r="A5" t="s">
        <v>1947</v>
      </c>
      <c r="B5" t="s">
        <v>1948</v>
      </c>
      <c r="C5">
        <v>800</v>
      </c>
      <c r="D5">
        <v>760</v>
      </c>
    </row>
    <row r="6" spans="1:4" x14ac:dyDescent="0.3">
      <c r="A6" t="s">
        <v>1947</v>
      </c>
      <c r="B6" t="s">
        <v>1949</v>
      </c>
      <c r="C6">
        <v>700</v>
      </c>
      <c r="D6">
        <v>686</v>
      </c>
    </row>
    <row r="7" spans="1:4" x14ac:dyDescent="0.3">
      <c r="A7" t="s">
        <v>1947</v>
      </c>
      <c r="B7" t="s">
        <v>1948</v>
      </c>
      <c r="C7">
        <v>800</v>
      </c>
      <c r="D7">
        <v>784</v>
      </c>
    </row>
    <row r="8" spans="1:4" x14ac:dyDescent="0.3">
      <c r="A8" t="s">
        <v>1947</v>
      </c>
      <c r="B8" t="s">
        <v>1950</v>
      </c>
      <c r="C8">
        <v>1000</v>
      </c>
      <c r="D8">
        <v>940</v>
      </c>
    </row>
    <row r="9" spans="1:4" x14ac:dyDescent="0.3">
      <c r="A9" t="s">
        <v>1951</v>
      </c>
      <c r="B9" t="s">
        <v>1950</v>
      </c>
      <c r="C9">
        <v>1000</v>
      </c>
      <c r="D9">
        <v>900</v>
      </c>
    </row>
    <row r="10" spans="1:4" x14ac:dyDescent="0.3">
      <c r="A10" t="s">
        <v>1951</v>
      </c>
      <c r="B10" t="s">
        <v>1950</v>
      </c>
      <c r="C10">
        <v>1000</v>
      </c>
      <c r="D10">
        <v>730</v>
      </c>
    </row>
    <row r="11" spans="1:4" x14ac:dyDescent="0.3">
      <c r="A11" t="s">
        <v>1951</v>
      </c>
      <c r="B11" t="s">
        <v>1948</v>
      </c>
      <c r="C11">
        <v>800</v>
      </c>
      <c r="D11">
        <v>688</v>
      </c>
    </row>
    <row r="12" spans="1:4" x14ac:dyDescent="0.3">
      <c r="A12" t="s">
        <v>1951</v>
      </c>
      <c r="B12" t="s">
        <v>1948</v>
      </c>
      <c r="C12">
        <v>800</v>
      </c>
      <c r="D12">
        <v>712</v>
      </c>
    </row>
    <row r="13" spans="1:4" x14ac:dyDescent="0.3">
      <c r="A13" t="s">
        <v>1952</v>
      </c>
      <c r="B13" t="s">
        <v>1949</v>
      </c>
      <c r="C13">
        <v>700</v>
      </c>
      <c r="D13">
        <v>693</v>
      </c>
    </row>
    <row r="14" spans="1:4" x14ac:dyDescent="0.3">
      <c r="A14" t="s">
        <v>1952</v>
      </c>
      <c r="B14" t="s">
        <v>1950</v>
      </c>
      <c r="C14">
        <v>1000</v>
      </c>
      <c r="D14">
        <v>930</v>
      </c>
    </row>
    <row r="15" spans="1:4" x14ac:dyDescent="0.3">
      <c r="A15" t="s">
        <v>1952</v>
      </c>
      <c r="B15" t="s">
        <v>1948</v>
      </c>
      <c r="C15">
        <v>800</v>
      </c>
      <c r="D15">
        <v>688</v>
      </c>
    </row>
    <row r="16" spans="1:4" x14ac:dyDescent="0.3">
      <c r="A16" t="s">
        <v>1952</v>
      </c>
      <c r="B16" t="s">
        <v>1948</v>
      </c>
      <c r="C16">
        <v>800</v>
      </c>
      <c r="D16">
        <v>784</v>
      </c>
    </row>
    <row r="17" spans="1:4" x14ac:dyDescent="0.3">
      <c r="A17" t="s">
        <v>1952</v>
      </c>
      <c r="B17" t="s">
        <v>1950</v>
      </c>
      <c r="C17">
        <v>1000</v>
      </c>
      <c r="D17">
        <v>970</v>
      </c>
    </row>
    <row r="18" spans="1:4" x14ac:dyDescent="0.3">
      <c r="A18" t="s">
        <v>1953</v>
      </c>
      <c r="B18" t="s">
        <v>1948</v>
      </c>
      <c r="C18">
        <v>800</v>
      </c>
      <c r="D18">
        <v>688</v>
      </c>
    </row>
    <row r="19" spans="1:4" x14ac:dyDescent="0.3">
      <c r="A19" t="s">
        <v>1953</v>
      </c>
      <c r="B19" t="s">
        <v>1948</v>
      </c>
      <c r="C19">
        <v>800</v>
      </c>
      <c r="D19">
        <v>776</v>
      </c>
    </row>
    <row r="20" spans="1:4" x14ac:dyDescent="0.3">
      <c r="A20" t="s">
        <v>1953</v>
      </c>
      <c r="B20" t="s">
        <v>1950</v>
      </c>
      <c r="C20">
        <v>1000</v>
      </c>
      <c r="D20">
        <v>750</v>
      </c>
    </row>
    <row r="21" spans="1:4" x14ac:dyDescent="0.3">
      <c r="A21" t="s">
        <v>1953</v>
      </c>
      <c r="B21" t="s">
        <v>1949</v>
      </c>
      <c r="C21">
        <v>700</v>
      </c>
      <c r="D21">
        <v>700</v>
      </c>
    </row>
    <row r="22" spans="1:4" x14ac:dyDescent="0.3">
      <c r="A22" t="s">
        <v>1953</v>
      </c>
      <c r="B22" t="s">
        <v>1950</v>
      </c>
      <c r="C22">
        <v>1000</v>
      </c>
      <c r="D22">
        <v>960</v>
      </c>
    </row>
    <row r="23" spans="1:4" x14ac:dyDescent="0.3">
      <c r="A23" t="s">
        <v>1953</v>
      </c>
      <c r="B23" t="s">
        <v>1950</v>
      </c>
      <c r="C23">
        <v>1000</v>
      </c>
      <c r="D23">
        <v>780</v>
      </c>
    </row>
    <row r="24" spans="1:4" x14ac:dyDescent="0.3">
      <c r="A24" t="s">
        <v>1953</v>
      </c>
      <c r="B24" t="s">
        <v>1950</v>
      </c>
      <c r="C24">
        <v>1000</v>
      </c>
      <c r="D24">
        <v>680</v>
      </c>
    </row>
    <row r="25" spans="1:4" x14ac:dyDescent="0.3">
      <c r="A25" t="s">
        <v>1953</v>
      </c>
      <c r="B25" t="s">
        <v>1950</v>
      </c>
      <c r="C25">
        <v>1000</v>
      </c>
      <c r="D25">
        <v>680</v>
      </c>
    </row>
    <row r="26" spans="1:4" x14ac:dyDescent="0.3">
      <c r="A26" t="s">
        <v>1953</v>
      </c>
      <c r="B26" t="s">
        <v>1950</v>
      </c>
      <c r="C26">
        <v>1000</v>
      </c>
      <c r="D26">
        <v>850</v>
      </c>
    </row>
    <row r="27" spans="1:4" x14ac:dyDescent="0.3">
      <c r="A27" t="s">
        <v>1954</v>
      </c>
      <c r="B27" t="s">
        <v>1949</v>
      </c>
      <c r="C27">
        <v>700</v>
      </c>
      <c r="D27">
        <v>686</v>
      </c>
    </row>
    <row r="28" spans="1:4" x14ac:dyDescent="0.3">
      <c r="A28" t="s">
        <v>1954</v>
      </c>
      <c r="B28" t="s">
        <v>1948</v>
      </c>
      <c r="C28">
        <v>800</v>
      </c>
      <c r="D28">
        <v>680</v>
      </c>
    </row>
    <row r="29" spans="1:4" x14ac:dyDescent="0.3">
      <c r="A29" t="s">
        <v>1954</v>
      </c>
      <c r="B29" t="s">
        <v>1948</v>
      </c>
      <c r="C29">
        <v>800</v>
      </c>
      <c r="D29">
        <v>696</v>
      </c>
    </row>
    <row r="30" spans="1:4" x14ac:dyDescent="0.3">
      <c r="A30" t="s">
        <v>1955</v>
      </c>
      <c r="B30" t="s">
        <v>1950</v>
      </c>
      <c r="C30">
        <v>1000</v>
      </c>
      <c r="D30">
        <v>950</v>
      </c>
    </row>
    <row r="31" spans="1:4" x14ac:dyDescent="0.3">
      <c r="A31" t="s">
        <v>1955</v>
      </c>
      <c r="B31" t="s">
        <v>1948</v>
      </c>
      <c r="C31">
        <v>800</v>
      </c>
      <c r="D31">
        <v>704</v>
      </c>
    </row>
    <row r="32" spans="1:4" x14ac:dyDescent="0.3">
      <c r="A32" t="s">
        <v>1955</v>
      </c>
      <c r="B32" t="s">
        <v>1948</v>
      </c>
      <c r="C32">
        <v>800</v>
      </c>
      <c r="D32">
        <v>736</v>
      </c>
    </row>
    <row r="33" spans="1:4" x14ac:dyDescent="0.3">
      <c r="A33" t="s">
        <v>1955</v>
      </c>
      <c r="B33" t="s">
        <v>1949</v>
      </c>
      <c r="C33">
        <v>700</v>
      </c>
      <c r="D33">
        <v>679</v>
      </c>
    </row>
    <row r="34" spans="1:4" x14ac:dyDescent="0.3">
      <c r="A34" t="s">
        <v>1955</v>
      </c>
      <c r="B34" t="s">
        <v>1948</v>
      </c>
      <c r="C34">
        <v>800</v>
      </c>
      <c r="D34">
        <v>720</v>
      </c>
    </row>
    <row r="35" spans="1:4" x14ac:dyDescent="0.3">
      <c r="A35" t="s">
        <v>1955</v>
      </c>
      <c r="B35" t="s">
        <v>1948</v>
      </c>
      <c r="C35">
        <v>800</v>
      </c>
      <c r="D35">
        <v>704</v>
      </c>
    </row>
    <row r="36" spans="1:4" x14ac:dyDescent="0.3">
      <c r="A36" t="s">
        <v>1955</v>
      </c>
      <c r="B36" t="s">
        <v>1950</v>
      </c>
      <c r="C36">
        <v>1000</v>
      </c>
      <c r="D36">
        <v>930</v>
      </c>
    </row>
    <row r="37" spans="1:4" x14ac:dyDescent="0.3">
      <c r="A37" t="s">
        <v>1955</v>
      </c>
      <c r="B37" t="s">
        <v>1948</v>
      </c>
      <c r="C37">
        <v>800</v>
      </c>
      <c r="D37">
        <v>760</v>
      </c>
    </row>
    <row r="38" spans="1:4" x14ac:dyDescent="0.3">
      <c r="A38" t="s">
        <v>1955</v>
      </c>
      <c r="B38" t="s">
        <v>1950</v>
      </c>
      <c r="C38">
        <v>1000</v>
      </c>
      <c r="D38">
        <v>910</v>
      </c>
    </row>
    <row r="39" spans="1:4" x14ac:dyDescent="0.3">
      <c r="A39" t="s">
        <v>1956</v>
      </c>
      <c r="B39" t="s">
        <v>1948</v>
      </c>
      <c r="C39">
        <v>800</v>
      </c>
      <c r="D39">
        <v>680</v>
      </c>
    </row>
    <row r="40" spans="1:4" x14ac:dyDescent="0.3">
      <c r="A40" t="s">
        <v>1956</v>
      </c>
      <c r="B40" t="s">
        <v>1949</v>
      </c>
      <c r="C40">
        <v>700</v>
      </c>
      <c r="D40">
        <v>693</v>
      </c>
    </row>
    <row r="41" spans="1:4" x14ac:dyDescent="0.3">
      <c r="A41" t="s">
        <v>1956</v>
      </c>
      <c r="B41" t="s">
        <v>1949</v>
      </c>
      <c r="C41">
        <v>700</v>
      </c>
      <c r="D41">
        <v>693</v>
      </c>
    </row>
    <row r="42" spans="1:4" x14ac:dyDescent="0.3">
      <c r="A42" t="s">
        <v>1956</v>
      </c>
      <c r="B42" t="s">
        <v>1950</v>
      </c>
      <c r="C42">
        <v>1000</v>
      </c>
      <c r="D42">
        <v>910</v>
      </c>
    </row>
    <row r="43" spans="1:4" x14ac:dyDescent="0.3">
      <c r="A43" t="s">
        <v>1956</v>
      </c>
      <c r="B43" t="s">
        <v>1950</v>
      </c>
      <c r="C43">
        <v>1000</v>
      </c>
      <c r="D43">
        <v>790</v>
      </c>
    </row>
    <row r="44" spans="1:4" x14ac:dyDescent="0.3">
      <c r="A44" t="s">
        <v>1957</v>
      </c>
      <c r="B44" t="s">
        <v>1950</v>
      </c>
      <c r="C44">
        <v>1000</v>
      </c>
      <c r="D44">
        <v>710</v>
      </c>
    </row>
    <row r="45" spans="1:4" x14ac:dyDescent="0.3">
      <c r="A45" t="s">
        <v>1957</v>
      </c>
      <c r="B45" t="s">
        <v>1949</v>
      </c>
      <c r="C45">
        <v>700</v>
      </c>
      <c r="D45">
        <v>679</v>
      </c>
    </row>
    <row r="46" spans="1:4" x14ac:dyDescent="0.3">
      <c r="A46" t="s">
        <v>1957</v>
      </c>
      <c r="B46" t="s">
        <v>1949</v>
      </c>
      <c r="C46">
        <v>700</v>
      </c>
      <c r="D46">
        <v>693</v>
      </c>
    </row>
    <row r="47" spans="1:4" x14ac:dyDescent="0.3">
      <c r="A47" t="s">
        <v>1957</v>
      </c>
      <c r="B47" t="s">
        <v>1950</v>
      </c>
      <c r="C47">
        <v>1000</v>
      </c>
      <c r="D47">
        <v>680</v>
      </c>
    </row>
    <row r="48" spans="1:4" x14ac:dyDescent="0.3">
      <c r="A48" t="s">
        <v>1957</v>
      </c>
      <c r="B48" t="s">
        <v>1950</v>
      </c>
      <c r="C48">
        <v>1000</v>
      </c>
      <c r="D48">
        <v>870</v>
      </c>
    </row>
    <row r="49" spans="1:4" x14ac:dyDescent="0.3">
      <c r="A49" t="s">
        <v>1957</v>
      </c>
      <c r="B49" t="s">
        <v>1950</v>
      </c>
      <c r="C49">
        <v>1000</v>
      </c>
      <c r="D49">
        <v>910</v>
      </c>
    </row>
    <row r="50" spans="1:4" x14ac:dyDescent="0.3">
      <c r="A50" t="s">
        <v>1957</v>
      </c>
      <c r="B50" t="s">
        <v>1948</v>
      </c>
      <c r="C50">
        <v>800</v>
      </c>
      <c r="D50">
        <v>720</v>
      </c>
    </row>
    <row r="51" spans="1:4" x14ac:dyDescent="0.3">
      <c r="A51" t="s">
        <v>1957</v>
      </c>
      <c r="B51" t="s">
        <v>1950</v>
      </c>
      <c r="C51">
        <v>1000</v>
      </c>
      <c r="D51">
        <v>910</v>
      </c>
    </row>
    <row r="52" spans="1:4" x14ac:dyDescent="0.3">
      <c r="A52" t="s">
        <v>1957</v>
      </c>
      <c r="B52" t="s">
        <v>1950</v>
      </c>
      <c r="C52">
        <v>1000</v>
      </c>
      <c r="D52">
        <v>700</v>
      </c>
    </row>
    <row r="53" spans="1:4" x14ac:dyDescent="0.3">
      <c r="A53" t="s">
        <v>1957</v>
      </c>
      <c r="B53" t="s">
        <v>1949</v>
      </c>
      <c r="C53">
        <v>700</v>
      </c>
      <c r="D53">
        <v>693</v>
      </c>
    </row>
    <row r="54" spans="1:4" x14ac:dyDescent="0.3">
      <c r="A54" t="s">
        <v>1957</v>
      </c>
      <c r="B54" t="s">
        <v>1948</v>
      </c>
      <c r="C54">
        <v>800</v>
      </c>
      <c r="D54">
        <v>712</v>
      </c>
    </row>
    <row r="55" spans="1:4" x14ac:dyDescent="0.3">
      <c r="A55" t="s">
        <v>1957</v>
      </c>
      <c r="B55" t="s">
        <v>1949</v>
      </c>
      <c r="C55">
        <v>700</v>
      </c>
      <c r="D55">
        <v>700</v>
      </c>
    </row>
    <row r="56" spans="1:4" x14ac:dyDescent="0.3">
      <c r="A56" t="s">
        <v>1957</v>
      </c>
      <c r="B56" t="s">
        <v>1950</v>
      </c>
      <c r="C56">
        <v>1000</v>
      </c>
      <c r="D56">
        <v>990</v>
      </c>
    </row>
    <row r="57" spans="1:4" x14ac:dyDescent="0.3">
      <c r="A57" t="s">
        <v>1958</v>
      </c>
      <c r="B57" t="s">
        <v>1949</v>
      </c>
      <c r="C57">
        <v>700</v>
      </c>
      <c r="D57">
        <v>700</v>
      </c>
    </row>
    <row r="58" spans="1:4" x14ac:dyDescent="0.3">
      <c r="A58" t="s">
        <v>1958</v>
      </c>
      <c r="B58" t="s">
        <v>1950</v>
      </c>
      <c r="C58">
        <v>1000</v>
      </c>
      <c r="D58">
        <v>820</v>
      </c>
    </row>
    <row r="59" spans="1:4" x14ac:dyDescent="0.3">
      <c r="A59" t="s">
        <v>1958</v>
      </c>
      <c r="B59" t="s">
        <v>1950</v>
      </c>
      <c r="C59">
        <v>1000</v>
      </c>
      <c r="D59">
        <v>680</v>
      </c>
    </row>
    <row r="60" spans="1:4" x14ac:dyDescent="0.3">
      <c r="A60" t="s">
        <v>1958</v>
      </c>
      <c r="B60" t="s">
        <v>1948</v>
      </c>
      <c r="C60">
        <v>800</v>
      </c>
      <c r="D60">
        <v>768</v>
      </c>
    </row>
    <row r="61" spans="1:4" x14ac:dyDescent="0.3">
      <c r="A61" t="s">
        <v>1958</v>
      </c>
      <c r="B61" t="s">
        <v>1948</v>
      </c>
      <c r="C61">
        <v>800</v>
      </c>
      <c r="D61">
        <v>800</v>
      </c>
    </row>
    <row r="62" spans="1:4" x14ac:dyDescent="0.3">
      <c r="A62" t="s">
        <v>1958</v>
      </c>
      <c r="B62" t="s">
        <v>1948</v>
      </c>
      <c r="C62">
        <v>800</v>
      </c>
      <c r="D62">
        <v>720</v>
      </c>
    </row>
    <row r="63" spans="1:4" x14ac:dyDescent="0.3">
      <c r="A63" t="s">
        <v>1959</v>
      </c>
      <c r="B63" t="s">
        <v>1948</v>
      </c>
      <c r="C63">
        <v>800</v>
      </c>
      <c r="D63">
        <v>712</v>
      </c>
    </row>
    <row r="64" spans="1:4" x14ac:dyDescent="0.3">
      <c r="A64" t="s">
        <v>1959</v>
      </c>
      <c r="B64" t="s">
        <v>1950</v>
      </c>
      <c r="C64">
        <v>1000</v>
      </c>
      <c r="D64">
        <v>740</v>
      </c>
    </row>
    <row r="65" spans="1:4" x14ac:dyDescent="0.3">
      <c r="A65" t="s">
        <v>1959</v>
      </c>
      <c r="B65" t="s">
        <v>1950</v>
      </c>
      <c r="C65">
        <v>1000</v>
      </c>
      <c r="D65">
        <v>790</v>
      </c>
    </row>
    <row r="66" spans="1:4" x14ac:dyDescent="0.3">
      <c r="A66" t="s">
        <v>1959</v>
      </c>
      <c r="B66" t="s">
        <v>1950</v>
      </c>
      <c r="C66">
        <v>1000</v>
      </c>
      <c r="D66">
        <v>860</v>
      </c>
    </row>
    <row r="67" spans="1:4" x14ac:dyDescent="0.3">
      <c r="A67" t="s">
        <v>1959</v>
      </c>
      <c r="B67" t="s">
        <v>1950</v>
      </c>
      <c r="C67">
        <v>1000</v>
      </c>
      <c r="D67">
        <v>700</v>
      </c>
    </row>
    <row r="68" spans="1:4" x14ac:dyDescent="0.3">
      <c r="A68" t="s">
        <v>1959</v>
      </c>
      <c r="B68" t="s">
        <v>1949</v>
      </c>
      <c r="C68">
        <v>700</v>
      </c>
      <c r="D68">
        <v>686</v>
      </c>
    </row>
    <row r="69" spans="1:4" x14ac:dyDescent="0.3">
      <c r="A69" t="s">
        <v>1959</v>
      </c>
      <c r="B69" t="s">
        <v>1950</v>
      </c>
      <c r="C69">
        <v>1000</v>
      </c>
      <c r="D69">
        <v>810</v>
      </c>
    </row>
    <row r="70" spans="1:4" x14ac:dyDescent="0.3">
      <c r="A70" t="s">
        <v>1959</v>
      </c>
      <c r="B70" t="s">
        <v>1948</v>
      </c>
      <c r="C70">
        <v>800</v>
      </c>
      <c r="D70">
        <v>696</v>
      </c>
    </row>
    <row r="71" spans="1:4" x14ac:dyDescent="0.3">
      <c r="A71" t="s">
        <v>1960</v>
      </c>
      <c r="B71" t="s">
        <v>1948</v>
      </c>
      <c r="C71">
        <v>800</v>
      </c>
      <c r="D71">
        <v>712</v>
      </c>
    </row>
    <row r="72" spans="1:4" x14ac:dyDescent="0.3">
      <c r="A72" t="s">
        <v>1960</v>
      </c>
      <c r="B72" t="s">
        <v>1950</v>
      </c>
      <c r="C72">
        <v>1000</v>
      </c>
      <c r="D72">
        <v>680</v>
      </c>
    </row>
    <row r="73" spans="1:4" x14ac:dyDescent="0.3">
      <c r="A73" t="s">
        <v>1960</v>
      </c>
      <c r="B73" t="s">
        <v>1949</v>
      </c>
      <c r="C73">
        <v>700</v>
      </c>
      <c r="D73">
        <v>700</v>
      </c>
    </row>
    <row r="74" spans="1:4" x14ac:dyDescent="0.3">
      <c r="A74" t="s">
        <v>1960</v>
      </c>
      <c r="B74" t="s">
        <v>1949</v>
      </c>
      <c r="C74">
        <v>700</v>
      </c>
      <c r="D74">
        <v>679</v>
      </c>
    </row>
    <row r="75" spans="1:4" x14ac:dyDescent="0.3">
      <c r="A75" t="s">
        <v>1960</v>
      </c>
      <c r="B75" t="s">
        <v>1950</v>
      </c>
      <c r="C75">
        <v>1000</v>
      </c>
      <c r="D75">
        <v>700</v>
      </c>
    </row>
    <row r="76" spans="1:4" x14ac:dyDescent="0.3">
      <c r="A76" t="s">
        <v>1960</v>
      </c>
      <c r="B76" t="s">
        <v>1950</v>
      </c>
      <c r="C76">
        <v>1000</v>
      </c>
      <c r="D76">
        <v>870</v>
      </c>
    </row>
    <row r="77" spans="1:4" x14ac:dyDescent="0.3">
      <c r="A77" t="s">
        <v>1960</v>
      </c>
      <c r="B77" t="s">
        <v>1950</v>
      </c>
      <c r="C77">
        <v>1000</v>
      </c>
      <c r="D77">
        <v>750</v>
      </c>
    </row>
    <row r="78" spans="1:4" x14ac:dyDescent="0.3">
      <c r="A78" t="s">
        <v>1960</v>
      </c>
      <c r="B78" t="s">
        <v>1949</v>
      </c>
      <c r="C78">
        <v>700</v>
      </c>
      <c r="D78">
        <v>679</v>
      </c>
    </row>
    <row r="79" spans="1:4" x14ac:dyDescent="0.3">
      <c r="A79" t="s">
        <v>1960</v>
      </c>
      <c r="B79" t="s">
        <v>1950</v>
      </c>
      <c r="C79">
        <v>1000</v>
      </c>
      <c r="D79">
        <v>970</v>
      </c>
    </row>
    <row r="80" spans="1:4" x14ac:dyDescent="0.3">
      <c r="A80" t="s">
        <v>1961</v>
      </c>
      <c r="B80" t="s">
        <v>1950</v>
      </c>
      <c r="C80">
        <v>1000</v>
      </c>
      <c r="D80">
        <v>850</v>
      </c>
    </row>
    <row r="81" spans="1:4" x14ac:dyDescent="0.3">
      <c r="A81" t="s">
        <v>1961</v>
      </c>
      <c r="B81" t="s">
        <v>1950</v>
      </c>
      <c r="C81">
        <v>1000</v>
      </c>
      <c r="D81">
        <v>690</v>
      </c>
    </row>
    <row r="82" spans="1:4" x14ac:dyDescent="0.3">
      <c r="A82" t="s">
        <v>1961</v>
      </c>
      <c r="B82" t="s">
        <v>1949</v>
      </c>
      <c r="C82">
        <v>700</v>
      </c>
      <c r="D82">
        <v>693</v>
      </c>
    </row>
    <row r="83" spans="1:4" x14ac:dyDescent="0.3">
      <c r="A83" t="s">
        <v>1961</v>
      </c>
      <c r="B83" t="s">
        <v>1948</v>
      </c>
      <c r="C83">
        <v>800</v>
      </c>
      <c r="D83">
        <v>744</v>
      </c>
    </row>
    <row r="84" spans="1:4" x14ac:dyDescent="0.3">
      <c r="A84" t="s">
        <v>1961</v>
      </c>
      <c r="B84" t="s">
        <v>1948</v>
      </c>
      <c r="C84">
        <v>800</v>
      </c>
      <c r="D84">
        <v>704</v>
      </c>
    </row>
    <row r="85" spans="1:4" x14ac:dyDescent="0.3">
      <c r="A85" t="s">
        <v>1961</v>
      </c>
      <c r="B85" t="s">
        <v>1948</v>
      </c>
      <c r="C85">
        <v>800</v>
      </c>
      <c r="D85">
        <v>744</v>
      </c>
    </row>
    <row r="86" spans="1:4" x14ac:dyDescent="0.3">
      <c r="A86" t="s">
        <v>1961</v>
      </c>
      <c r="B86" t="s">
        <v>1950</v>
      </c>
      <c r="C86">
        <v>1000</v>
      </c>
      <c r="D86">
        <v>710</v>
      </c>
    </row>
    <row r="87" spans="1:4" x14ac:dyDescent="0.3">
      <c r="A87" t="s">
        <v>1961</v>
      </c>
      <c r="B87" t="s">
        <v>1950</v>
      </c>
      <c r="C87">
        <v>1000</v>
      </c>
      <c r="D87">
        <v>840</v>
      </c>
    </row>
    <row r="88" spans="1:4" x14ac:dyDescent="0.3">
      <c r="A88" t="s">
        <v>1962</v>
      </c>
      <c r="B88" t="s">
        <v>1949</v>
      </c>
      <c r="C88">
        <v>700</v>
      </c>
      <c r="D88">
        <v>686</v>
      </c>
    </row>
    <row r="89" spans="1:4" x14ac:dyDescent="0.3">
      <c r="A89" t="s">
        <v>1962</v>
      </c>
      <c r="B89" t="s">
        <v>1948</v>
      </c>
      <c r="C89">
        <v>800</v>
      </c>
      <c r="D89">
        <v>720</v>
      </c>
    </row>
    <row r="90" spans="1:4" x14ac:dyDescent="0.3">
      <c r="A90" t="s">
        <v>1962</v>
      </c>
      <c r="B90" t="s">
        <v>1950</v>
      </c>
      <c r="C90">
        <v>1000</v>
      </c>
      <c r="D90">
        <v>690</v>
      </c>
    </row>
    <row r="91" spans="1:4" x14ac:dyDescent="0.3">
      <c r="A91" t="s">
        <v>1962</v>
      </c>
      <c r="B91" t="s">
        <v>1948</v>
      </c>
      <c r="C91">
        <v>800</v>
      </c>
      <c r="D91">
        <v>784</v>
      </c>
    </row>
    <row r="92" spans="1:4" x14ac:dyDescent="0.3">
      <c r="A92" t="s">
        <v>1963</v>
      </c>
      <c r="B92" t="s">
        <v>1949</v>
      </c>
      <c r="C92">
        <v>700</v>
      </c>
      <c r="D92">
        <v>686</v>
      </c>
    </row>
    <row r="93" spans="1:4" x14ac:dyDescent="0.3">
      <c r="A93" t="s">
        <v>1963</v>
      </c>
      <c r="B93" t="s">
        <v>1948</v>
      </c>
      <c r="C93">
        <v>800</v>
      </c>
      <c r="D93">
        <v>752</v>
      </c>
    </row>
    <row r="94" spans="1:4" x14ac:dyDescent="0.3">
      <c r="A94" t="s">
        <v>1963</v>
      </c>
      <c r="B94" t="s">
        <v>1949</v>
      </c>
      <c r="C94">
        <v>700</v>
      </c>
      <c r="D94">
        <v>686</v>
      </c>
    </row>
    <row r="95" spans="1:4" x14ac:dyDescent="0.3">
      <c r="A95" t="s">
        <v>1963</v>
      </c>
      <c r="B95" t="s">
        <v>1948</v>
      </c>
      <c r="C95">
        <v>800</v>
      </c>
      <c r="D95">
        <v>744</v>
      </c>
    </row>
    <row r="96" spans="1:4" x14ac:dyDescent="0.3">
      <c r="A96" t="s">
        <v>1963</v>
      </c>
      <c r="B96" t="s">
        <v>1950</v>
      </c>
      <c r="C96">
        <v>1000</v>
      </c>
      <c r="D96">
        <v>930</v>
      </c>
    </row>
    <row r="97" spans="1:4" x14ac:dyDescent="0.3">
      <c r="A97" t="s">
        <v>1963</v>
      </c>
      <c r="B97" t="s">
        <v>1948</v>
      </c>
      <c r="C97">
        <v>800</v>
      </c>
      <c r="D97">
        <v>736</v>
      </c>
    </row>
    <row r="98" spans="1:4" x14ac:dyDescent="0.3">
      <c r="A98" t="s">
        <v>1963</v>
      </c>
      <c r="B98" t="s">
        <v>1950</v>
      </c>
      <c r="C98">
        <v>1000</v>
      </c>
      <c r="D98">
        <v>890</v>
      </c>
    </row>
    <row r="99" spans="1:4" x14ac:dyDescent="0.3">
      <c r="A99" t="s">
        <v>1963</v>
      </c>
      <c r="B99" t="s">
        <v>1950</v>
      </c>
      <c r="C99">
        <v>1000</v>
      </c>
      <c r="D99">
        <v>740</v>
      </c>
    </row>
    <row r="100" spans="1:4" x14ac:dyDescent="0.3">
      <c r="A100" t="s">
        <v>1963</v>
      </c>
      <c r="B100" t="s">
        <v>1948</v>
      </c>
      <c r="C100">
        <v>800</v>
      </c>
      <c r="D100">
        <v>768</v>
      </c>
    </row>
    <row r="101" spans="1:4" x14ac:dyDescent="0.3">
      <c r="A101" t="s">
        <v>1963</v>
      </c>
      <c r="B101" t="s">
        <v>1950</v>
      </c>
      <c r="C101">
        <v>1000</v>
      </c>
      <c r="D101">
        <v>920</v>
      </c>
    </row>
    <row r="102" spans="1:4" x14ac:dyDescent="0.3">
      <c r="A102" t="s">
        <v>1963</v>
      </c>
      <c r="B102" t="s">
        <v>1948</v>
      </c>
      <c r="C102">
        <v>800</v>
      </c>
      <c r="D102">
        <v>744</v>
      </c>
    </row>
    <row r="103" spans="1:4" x14ac:dyDescent="0.3">
      <c r="A103" t="s">
        <v>1963</v>
      </c>
      <c r="B103" t="s">
        <v>1950</v>
      </c>
      <c r="C103">
        <v>1000</v>
      </c>
      <c r="D103">
        <v>950</v>
      </c>
    </row>
    <row r="104" spans="1:4" x14ac:dyDescent="0.3">
      <c r="A104" t="s">
        <v>1963</v>
      </c>
      <c r="B104" t="s">
        <v>1950</v>
      </c>
      <c r="C104">
        <v>1000</v>
      </c>
      <c r="D104">
        <v>880</v>
      </c>
    </row>
    <row r="105" spans="1:4" x14ac:dyDescent="0.3">
      <c r="A105" t="s">
        <v>1964</v>
      </c>
      <c r="B105" t="s">
        <v>1948</v>
      </c>
      <c r="C105">
        <v>800</v>
      </c>
      <c r="D105">
        <v>696</v>
      </c>
    </row>
    <row r="106" spans="1:4" x14ac:dyDescent="0.3">
      <c r="A106" t="s">
        <v>1964</v>
      </c>
      <c r="B106" t="s">
        <v>1949</v>
      </c>
      <c r="C106">
        <v>700</v>
      </c>
      <c r="D106">
        <v>686</v>
      </c>
    </row>
    <row r="107" spans="1:4" x14ac:dyDescent="0.3">
      <c r="A107" t="s">
        <v>1964</v>
      </c>
      <c r="B107" t="s">
        <v>1950</v>
      </c>
      <c r="C107">
        <v>1000</v>
      </c>
      <c r="D107">
        <v>680</v>
      </c>
    </row>
    <row r="108" spans="1:4" x14ac:dyDescent="0.3">
      <c r="A108" t="s">
        <v>1964</v>
      </c>
      <c r="B108" t="s">
        <v>1950</v>
      </c>
      <c r="C108">
        <v>1000</v>
      </c>
      <c r="D108">
        <v>780</v>
      </c>
    </row>
    <row r="109" spans="1:4" x14ac:dyDescent="0.3">
      <c r="A109" t="s">
        <v>1964</v>
      </c>
      <c r="B109" t="s">
        <v>1950</v>
      </c>
      <c r="C109">
        <v>1000</v>
      </c>
      <c r="D109">
        <v>750</v>
      </c>
    </row>
    <row r="110" spans="1:4" x14ac:dyDescent="0.3">
      <c r="A110" t="s">
        <v>1965</v>
      </c>
      <c r="B110" t="s">
        <v>1948</v>
      </c>
      <c r="C110">
        <v>800</v>
      </c>
      <c r="D110">
        <v>720</v>
      </c>
    </row>
    <row r="111" spans="1:4" x14ac:dyDescent="0.3">
      <c r="A111" t="s">
        <v>1965</v>
      </c>
      <c r="B111" t="s">
        <v>1949</v>
      </c>
      <c r="C111">
        <v>700</v>
      </c>
      <c r="D111">
        <v>693</v>
      </c>
    </row>
    <row r="112" spans="1:4" x14ac:dyDescent="0.3">
      <c r="A112" t="s">
        <v>1965</v>
      </c>
      <c r="B112" t="s">
        <v>1950</v>
      </c>
      <c r="C112">
        <v>1000</v>
      </c>
      <c r="D112">
        <v>730</v>
      </c>
    </row>
    <row r="113" spans="1:4" x14ac:dyDescent="0.3">
      <c r="A113" t="s">
        <v>1965</v>
      </c>
      <c r="B113" t="s">
        <v>1950</v>
      </c>
      <c r="C113">
        <v>1000</v>
      </c>
      <c r="D113">
        <v>710</v>
      </c>
    </row>
    <row r="114" spans="1:4" x14ac:dyDescent="0.3">
      <c r="A114" t="s">
        <v>1965</v>
      </c>
      <c r="B114" t="s">
        <v>1949</v>
      </c>
      <c r="C114">
        <v>700</v>
      </c>
      <c r="D114">
        <v>693</v>
      </c>
    </row>
    <row r="115" spans="1:4" x14ac:dyDescent="0.3">
      <c r="A115" t="s">
        <v>1965</v>
      </c>
      <c r="B115" t="s">
        <v>1950</v>
      </c>
      <c r="C115">
        <v>1000</v>
      </c>
      <c r="D115">
        <v>960</v>
      </c>
    </row>
    <row r="116" spans="1:4" x14ac:dyDescent="0.3">
      <c r="A116" t="s">
        <v>1965</v>
      </c>
      <c r="B116" t="s">
        <v>1950</v>
      </c>
      <c r="C116">
        <v>1000</v>
      </c>
      <c r="D116">
        <v>800</v>
      </c>
    </row>
    <row r="117" spans="1:4" x14ac:dyDescent="0.3">
      <c r="A117" t="s">
        <v>1965</v>
      </c>
      <c r="B117" t="s">
        <v>1950</v>
      </c>
      <c r="C117">
        <v>1000</v>
      </c>
      <c r="D117">
        <v>750</v>
      </c>
    </row>
    <row r="118" spans="1:4" x14ac:dyDescent="0.3">
      <c r="A118" t="s">
        <v>1966</v>
      </c>
      <c r="B118" t="s">
        <v>1950</v>
      </c>
      <c r="C118">
        <v>1000</v>
      </c>
      <c r="D118">
        <v>950</v>
      </c>
    </row>
    <row r="119" spans="1:4" x14ac:dyDescent="0.3">
      <c r="A119" t="s">
        <v>1966</v>
      </c>
      <c r="B119" t="s">
        <v>1950</v>
      </c>
      <c r="C119">
        <v>1000</v>
      </c>
      <c r="D119">
        <v>680</v>
      </c>
    </row>
    <row r="120" spans="1:4" x14ac:dyDescent="0.3">
      <c r="A120" t="s">
        <v>1966</v>
      </c>
      <c r="B120" t="s">
        <v>1950</v>
      </c>
      <c r="C120">
        <v>1000</v>
      </c>
      <c r="D120">
        <v>930</v>
      </c>
    </row>
    <row r="121" spans="1:4" x14ac:dyDescent="0.3">
      <c r="A121" t="s">
        <v>1966</v>
      </c>
      <c r="B121" t="s">
        <v>1949</v>
      </c>
      <c r="C121">
        <v>700</v>
      </c>
      <c r="D121">
        <v>693</v>
      </c>
    </row>
    <row r="122" spans="1:4" x14ac:dyDescent="0.3">
      <c r="A122" t="s">
        <v>1966</v>
      </c>
      <c r="B122" t="s">
        <v>1950</v>
      </c>
      <c r="C122">
        <v>1000</v>
      </c>
      <c r="D122">
        <v>800</v>
      </c>
    </row>
    <row r="123" spans="1:4" x14ac:dyDescent="0.3">
      <c r="A123" t="s">
        <v>1967</v>
      </c>
      <c r="B123" t="s">
        <v>1950</v>
      </c>
      <c r="C123">
        <v>1000</v>
      </c>
      <c r="D123">
        <v>960</v>
      </c>
    </row>
    <row r="124" spans="1:4" x14ac:dyDescent="0.3">
      <c r="A124" t="s">
        <v>1967</v>
      </c>
      <c r="B124" t="s">
        <v>1950</v>
      </c>
      <c r="C124">
        <v>1000</v>
      </c>
      <c r="D124">
        <v>700</v>
      </c>
    </row>
    <row r="125" spans="1:4" x14ac:dyDescent="0.3">
      <c r="A125" t="s">
        <v>1967</v>
      </c>
      <c r="B125" t="s">
        <v>1948</v>
      </c>
      <c r="C125">
        <v>800</v>
      </c>
      <c r="D125">
        <v>712</v>
      </c>
    </row>
    <row r="126" spans="1:4" x14ac:dyDescent="0.3">
      <c r="A126" t="s">
        <v>1967</v>
      </c>
      <c r="B126" t="s">
        <v>1948</v>
      </c>
      <c r="C126">
        <v>800</v>
      </c>
      <c r="D126">
        <v>704</v>
      </c>
    </row>
    <row r="127" spans="1:4" x14ac:dyDescent="0.3">
      <c r="A127" t="s">
        <v>1967</v>
      </c>
      <c r="B127" t="s">
        <v>1950</v>
      </c>
      <c r="C127">
        <v>1000</v>
      </c>
      <c r="D127">
        <v>920</v>
      </c>
    </row>
    <row r="128" spans="1:4" x14ac:dyDescent="0.3">
      <c r="A128" t="s">
        <v>1967</v>
      </c>
      <c r="B128" t="s">
        <v>1950</v>
      </c>
      <c r="C128">
        <v>1000</v>
      </c>
      <c r="D128">
        <v>720</v>
      </c>
    </row>
    <row r="129" spans="1:4" x14ac:dyDescent="0.3">
      <c r="A129" t="s">
        <v>1967</v>
      </c>
      <c r="B129" t="s">
        <v>1949</v>
      </c>
      <c r="C129">
        <v>700</v>
      </c>
      <c r="D129">
        <v>679</v>
      </c>
    </row>
    <row r="130" spans="1:4" x14ac:dyDescent="0.3">
      <c r="A130" t="s">
        <v>1967</v>
      </c>
      <c r="B130" t="s">
        <v>1950</v>
      </c>
      <c r="C130">
        <v>1000</v>
      </c>
      <c r="D130">
        <v>950</v>
      </c>
    </row>
    <row r="131" spans="1:4" x14ac:dyDescent="0.3">
      <c r="A131" t="s">
        <v>1967</v>
      </c>
      <c r="B131" t="s">
        <v>1950</v>
      </c>
      <c r="C131">
        <v>1000</v>
      </c>
      <c r="D131">
        <v>960</v>
      </c>
    </row>
    <row r="132" spans="1:4" x14ac:dyDescent="0.3">
      <c r="A132" t="s">
        <v>1967</v>
      </c>
      <c r="B132" t="s">
        <v>1950</v>
      </c>
      <c r="C132">
        <v>1000</v>
      </c>
      <c r="D132">
        <v>920</v>
      </c>
    </row>
    <row r="133" spans="1:4" x14ac:dyDescent="0.3">
      <c r="A133" t="s">
        <v>1968</v>
      </c>
      <c r="B133" t="s">
        <v>1950</v>
      </c>
      <c r="C133">
        <v>1000</v>
      </c>
      <c r="D133">
        <v>960</v>
      </c>
    </row>
    <row r="134" spans="1:4" x14ac:dyDescent="0.3">
      <c r="A134" t="s">
        <v>1968</v>
      </c>
      <c r="B134" t="s">
        <v>1950</v>
      </c>
      <c r="C134">
        <v>1000</v>
      </c>
      <c r="D134">
        <v>880</v>
      </c>
    </row>
    <row r="135" spans="1:4" x14ac:dyDescent="0.3">
      <c r="A135" t="s">
        <v>1968</v>
      </c>
      <c r="B135" t="s">
        <v>1950</v>
      </c>
      <c r="C135">
        <v>1000</v>
      </c>
      <c r="D135">
        <v>860</v>
      </c>
    </row>
    <row r="136" spans="1:4" x14ac:dyDescent="0.3">
      <c r="A136" t="s">
        <v>1968</v>
      </c>
      <c r="B136" t="s">
        <v>1950</v>
      </c>
      <c r="C136">
        <v>1000</v>
      </c>
      <c r="D136">
        <v>950</v>
      </c>
    </row>
    <row r="137" spans="1:4" x14ac:dyDescent="0.3">
      <c r="A137" t="s">
        <v>1968</v>
      </c>
      <c r="B137" t="s">
        <v>1948</v>
      </c>
      <c r="C137">
        <v>800</v>
      </c>
      <c r="D137">
        <v>760</v>
      </c>
    </row>
    <row r="138" spans="1:4" x14ac:dyDescent="0.3">
      <c r="A138" t="s">
        <v>1969</v>
      </c>
      <c r="B138" t="s">
        <v>1950</v>
      </c>
      <c r="C138">
        <v>1000</v>
      </c>
      <c r="D138">
        <v>880</v>
      </c>
    </row>
    <row r="139" spans="1:4" x14ac:dyDescent="0.3">
      <c r="A139" t="s">
        <v>1969</v>
      </c>
      <c r="B139" t="s">
        <v>1949</v>
      </c>
      <c r="C139">
        <v>700</v>
      </c>
      <c r="D139">
        <v>679</v>
      </c>
    </row>
    <row r="140" spans="1:4" x14ac:dyDescent="0.3">
      <c r="A140" t="s">
        <v>1969</v>
      </c>
      <c r="B140" t="s">
        <v>1950</v>
      </c>
      <c r="C140">
        <v>1000</v>
      </c>
      <c r="D140">
        <v>900</v>
      </c>
    </row>
    <row r="141" spans="1:4" x14ac:dyDescent="0.3">
      <c r="A141" t="s">
        <v>1969</v>
      </c>
      <c r="B141" t="s">
        <v>1950</v>
      </c>
      <c r="C141">
        <v>1000</v>
      </c>
      <c r="D141">
        <v>980</v>
      </c>
    </row>
    <row r="142" spans="1:4" x14ac:dyDescent="0.3">
      <c r="A142" t="s">
        <v>1970</v>
      </c>
      <c r="B142" t="s">
        <v>1948</v>
      </c>
      <c r="C142">
        <v>800</v>
      </c>
      <c r="D142">
        <v>744</v>
      </c>
    </row>
    <row r="143" spans="1:4" x14ac:dyDescent="0.3">
      <c r="A143" t="s">
        <v>1970</v>
      </c>
      <c r="B143" t="s">
        <v>1949</v>
      </c>
      <c r="C143">
        <v>700</v>
      </c>
      <c r="D143">
        <v>686</v>
      </c>
    </row>
    <row r="144" spans="1:4" x14ac:dyDescent="0.3">
      <c r="A144" t="s">
        <v>1971</v>
      </c>
      <c r="B144" t="s">
        <v>1950</v>
      </c>
      <c r="C144">
        <v>1000</v>
      </c>
      <c r="D144">
        <v>940</v>
      </c>
    </row>
    <row r="145" spans="1:4" x14ac:dyDescent="0.3">
      <c r="A145" t="s">
        <v>1971</v>
      </c>
      <c r="B145" t="s">
        <v>1950</v>
      </c>
      <c r="C145">
        <v>1000</v>
      </c>
      <c r="D145">
        <v>970</v>
      </c>
    </row>
    <row r="146" spans="1:4" x14ac:dyDescent="0.3">
      <c r="A146" t="s">
        <v>1971</v>
      </c>
      <c r="B146" t="s">
        <v>1950</v>
      </c>
      <c r="C146">
        <v>1000</v>
      </c>
      <c r="D146">
        <v>810</v>
      </c>
    </row>
    <row r="147" spans="1:4" x14ac:dyDescent="0.3">
      <c r="A147" t="s">
        <v>1971</v>
      </c>
      <c r="B147" t="s">
        <v>1950</v>
      </c>
      <c r="C147">
        <v>1000</v>
      </c>
      <c r="D147">
        <v>960</v>
      </c>
    </row>
    <row r="148" spans="1:4" x14ac:dyDescent="0.3">
      <c r="A148" t="s">
        <v>1971</v>
      </c>
      <c r="B148" t="s">
        <v>1950</v>
      </c>
      <c r="C148">
        <v>1000</v>
      </c>
      <c r="D148">
        <v>810</v>
      </c>
    </row>
    <row r="149" spans="1:4" x14ac:dyDescent="0.3">
      <c r="A149" t="s">
        <v>1972</v>
      </c>
      <c r="B149" t="s">
        <v>1949</v>
      </c>
      <c r="C149">
        <v>700</v>
      </c>
      <c r="D149">
        <v>679</v>
      </c>
    </row>
    <row r="150" spans="1:4" x14ac:dyDescent="0.3">
      <c r="A150" t="s">
        <v>1972</v>
      </c>
      <c r="B150" t="s">
        <v>1950</v>
      </c>
      <c r="C150">
        <v>1000</v>
      </c>
      <c r="D150">
        <v>690</v>
      </c>
    </row>
    <row r="151" spans="1:4" x14ac:dyDescent="0.3">
      <c r="A151" t="s">
        <v>1972</v>
      </c>
      <c r="B151" t="s">
        <v>1950</v>
      </c>
      <c r="C151">
        <v>1000</v>
      </c>
      <c r="D151">
        <v>800</v>
      </c>
    </row>
    <row r="152" spans="1:4" x14ac:dyDescent="0.3">
      <c r="A152" t="s">
        <v>1972</v>
      </c>
      <c r="B152" t="s">
        <v>1950</v>
      </c>
      <c r="C152">
        <v>1000</v>
      </c>
      <c r="D152">
        <v>960</v>
      </c>
    </row>
    <row r="153" spans="1:4" x14ac:dyDescent="0.3">
      <c r="A153" t="s">
        <v>1972</v>
      </c>
      <c r="B153" t="s">
        <v>1948</v>
      </c>
      <c r="C153">
        <v>800</v>
      </c>
      <c r="D153">
        <v>704</v>
      </c>
    </row>
    <row r="154" spans="1:4" x14ac:dyDescent="0.3">
      <c r="A154" t="s">
        <v>1972</v>
      </c>
      <c r="B154" t="s">
        <v>1948</v>
      </c>
      <c r="C154">
        <v>800</v>
      </c>
      <c r="D154">
        <v>720</v>
      </c>
    </row>
    <row r="155" spans="1:4" x14ac:dyDescent="0.3">
      <c r="A155" t="s">
        <v>1973</v>
      </c>
      <c r="B155" t="s">
        <v>1949</v>
      </c>
      <c r="C155">
        <v>700</v>
      </c>
      <c r="D155">
        <v>679</v>
      </c>
    </row>
    <row r="156" spans="1:4" x14ac:dyDescent="0.3">
      <c r="A156" t="s">
        <v>1973</v>
      </c>
      <c r="B156" t="s">
        <v>1948</v>
      </c>
      <c r="C156">
        <v>800</v>
      </c>
      <c r="D156">
        <v>744</v>
      </c>
    </row>
    <row r="157" spans="1:4" x14ac:dyDescent="0.3">
      <c r="A157" t="s">
        <v>1973</v>
      </c>
      <c r="B157" t="s">
        <v>1949</v>
      </c>
      <c r="C157">
        <v>700</v>
      </c>
      <c r="D157">
        <v>693</v>
      </c>
    </row>
    <row r="158" spans="1:4" x14ac:dyDescent="0.3">
      <c r="A158" t="s">
        <v>1973</v>
      </c>
      <c r="B158" t="s">
        <v>1948</v>
      </c>
      <c r="C158">
        <v>800</v>
      </c>
      <c r="D158">
        <v>688</v>
      </c>
    </row>
    <row r="159" spans="1:4" x14ac:dyDescent="0.3">
      <c r="A159" t="s">
        <v>1973</v>
      </c>
      <c r="B159" t="s">
        <v>1949</v>
      </c>
      <c r="C159">
        <v>700</v>
      </c>
      <c r="D159">
        <v>679</v>
      </c>
    </row>
    <row r="160" spans="1:4" x14ac:dyDescent="0.3">
      <c r="A160" t="s">
        <v>1973</v>
      </c>
      <c r="B160" t="s">
        <v>1949</v>
      </c>
      <c r="C160">
        <v>700</v>
      </c>
      <c r="D160">
        <v>700</v>
      </c>
    </row>
    <row r="161" spans="1:4" x14ac:dyDescent="0.3">
      <c r="A161" t="s">
        <v>1973</v>
      </c>
      <c r="B161" t="s">
        <v>1948</v>
      </c>
      <c r="C161">
        <v>800</v>
      </c>
      <c r="D161">
        <v>744</v>
      </c>
    </row>
    <row r="162" spans="1:4" x14ac:dyDescent="0.3">
      <c r="A162" t="s">
        <v>1973</v>
      </c>
      <c r="B162" t="s">
        <v>1950</v>
      </c>
      <c r="C162">
        <v>1000</v>
      </c>
      <c r="D162">
        <v>970</v>
      </c>
    </row>
    <row r="163" spans="1:4" x14ac:dyDescent="0.3">
      <c r="A163" t="s">
        <v>1973</v>
      </c>
      <c r="B163" t="s">
        <v>1948</v>
      </c>
      <c r="C163">
        <v>800</v>
      </c>
      <c r="D163">
        <v>776</v>
      </c>
    </row>
    <row r="164" spans="1:4" x14ac:dyDescent="0.3">
      <c r="A164" t="s">
        <v>1973</v>
      </c>
      <c r="B164" t="s">
        <v>1950</v>
      </c>
      <c r="C164">
        <v>1000</v>
      </c>
      <c r="D164">
        <v>880</v>
      </c>
    </row>
    <row r="165" spans="1:4" x14ac:dyDescent="0.3">
      <c r="A165" t="s">
        <v>1973</v>
      </c>
      <c r="B165" t="s">
        <v>1950</v>
      </c>
      <c r="C165">
        <v>1000</v>
      </c>
      <c r="D165">
        <v>910</v>
      </c>
    </row>
    <row r="166" spans="1:4" x14ac:dyDescent="0.3">
      <c r="A166" t="s">
        <v>1973</v>
      </c>
      <c r="B166" t="s">
        <v>1949</v>
      </c>
      <c r="C166">
        <v>700</v>
      </c>
      <c r="D166">
        <v>679</v>
      </c>
    </row>
    <row r="167" spans="1:4" x14ac:dyDescent="0.3">
      <c r="A167" t="s">
        <v>1974</v>
      </c>
      <c r="B167" t="s">
        <v>1950</v>
      </c>
      <c r="C167">
        <v>1000</v>
      </c>
      <c r="D167">
        <v>810</v>
      </c>
    </row>
    <row r="168" spans="1:4" x14ac:dyDescent="0.3">
      <c r="A168" t="s">
        <v>1974</v>
      </c>
      <c r="B168" t="s">
        <v>1950</v>
      </c>
      <c r="C168">
        <v>1000</v>
      </c>
      <c r="D168">
        <v>740</v>
      </c>
    </row>
    <row r="169" spans="1:4" x14ac:dyDescent="0.3">
      <c r="A169" t="s">
        <v>1974</v>
      </c>
      <c r="B169" t="s">
        <v>1950</v>
      </c>
      <c r="C169">
        <v>1000</v>
      </c>
      <c r="D169">
        <v>980</v>
      </c>
    </row>
    <row r="170" spans="1:4" x14ac:dyDescent="0.3">
      <c r="A170" t="s">
        <v>1975</v>
      </c>
      <c r="B170" t="s">
        <v>1948</v>
      </c>
      <c r="C170">
        <v>800</v>
      </c>
      <c r="D170">
        <v>696</v>
      </c>
    </row>
    <row r="171" spans="1:4" x14ac:dyDescent="0.3">
      <c r="A171" t="s">
        <v>1975</v>
      </c>
      <c r="B171" t="s">
        <v>1950</v>
      </c>
      <c r="C171">
        <v>1000</v>
      </c>
      <c r="D171">
        <v>930</v>
      </c>
    </row>
    <row r="172" spans="1:4" x14ac:dyDescent="0.3">
      <c r="A172" t="s">
        <v>1975</v>
      </c>
      <c r="B172" t="s">
        <v>1950</v>
      </c>
      <c r="C172">
        <v>1000</v>
      </c>
      <c r="D172">
        <v>890</v>
      </c>
    </row>
    <row r="173" spans="1:4" x14ac:dyDescent="0.3">
      <c r="A173" t="s">
        <v>1975</v>
      </c>
      <c r="B173" t="s">
        <v>1949</v>
      </c>
      <c r="C173">
        <v>700</v>
      </c>
      <c r="D173">
        <v>686</v>
      </c>
    </row>
    <row r="174" spans="1:4" x14ac:dyDescent="0.3">
      <c r="A174" t="s">
        <v>1975</v>
      </c>
      <c r="B174" t="s">
        <v>1949</v>
      </c>
      <c r="C174">
        <v>700</v>
      </c>
      <c r="D174">
        <v>679</v>
      </c>
    </row>
    <row r="175" spans="1:4" x14ac:dyDescent="0.3">
      <c r="A175" t="s">
        <v>1976</v>
      </c>
      <c r="B175" t="s">
        <v>1949</v>
      </c>
      <c r="C175">
        <v>700</v>
      </c>
      <c r="D175">
        <v>686</v>
      </c>
    </row>
    <row r="176" spans="1:4" x14ac:dyDescent="0.3">
      <c r="A176" t="s">
        <v>1976</v>
      </c>
      <c r="B176" t="s">
        <v>1950</v>
      </c>
      <c r="C176">
        <v>1000</v>
      </c>
      <c r="D176">
        <v>780</v>
      </c>
    </row>
    <row r="177" spans="1:4" x14ac:dyDescent="0.3">
      <c r="A177" t="s">
        <v>1976</v>
      </c>
      <c r="B177" t="s">
        <v>1950</v>
      </c>
      <c r="C177">
        <v>1000</v>
      </c>
      <c r="D177">
        <v>880</v>
      </c>
    </row>
    <row r="178" spans="1:4" x14ac:dyDescent="0.3">
      <c r="A178" t="s">
        <v>1976</v>
      </c>
      <c r="B178" t="s">
        <v>1949</v>
      </c>
      <c r="C178">
        <v>700</v>
      </c>
      <c r="D178">
        <v>693</v>
      </c>
    </row>
    <row r="179" spans="1:4" x14ac:dyDescent="0.3">
      <c r="A179" t="s">
        <v>1976</v>
      </c>
      <c r="B179" t="s">
        <v>1949</v>
      </c>
      <c r="C179">
        <v>700</v>
      </c>
      <c r="D179">
        <v>693</v>
      </c>
    </row>
    <row r="180" spans="1:4" x14ac:dyDescent="0.3">
      <c r="A180" t="s">
        <v>1976</v>
      </c>
      <c r="B180" t="s">
        <v>1950</v>
      </c>
      <c r="C180">
        <v>1000</v>
      </c>
      <c r="D180">
        <v>930</v>
      </c>
    </row>
    <row r="181" spans="1:4" x14ac:dyDescent="0.3">
      <c r="A181" t="s">
        <v>1976</v>
      </c>
      <c r="B181" t="s">
        <v>1949</v>
      </c>
      <c r="C181">
        <v>700</v>
      </c>
      <c r="D181">
        <v>686</v>
      </c>
    </row>
    <row r="182" spans="1:4" x14ac:dyDescent="0.3">
      <c r="A182" t="s">
        <v>1977</v>
      </c>
      <c r="B182" t="s">
        <v>1948</v>
      </c>
      <c r="C182">
        <v>800</v>
      </c>
      <c r="D182">
        <v>736</v>
      </c>
    </row>
    <row r="183" spans="1:4" x14ac:dyDescent="0.3">
      <c r="A183" t="s">
        <v>1977</v>
      </c>
      <c r="B183" t="s">
        <v>1949</v>
      </c>
      <c r="C183">
        <v>700</v>
      </c>
      <c r="D183">
        <v>686</v>
      </c>
    </row>
    <row r="184" spans="1:4" x14ac:dyDescent="0.3">
      <c r="A184" t="s">
        <v>1977</v>
      </c>
      <c r="B184" t="s">
        <v>1949</v>
      </c>
      <c r="C184">
        <v>700</v>
      </c>
      <c r="D184">
        <v>700</v>
      </c>
    </row>
    <row r="185" spans="1:4" x14ac:dyDescent="0.3">
      <c r="A185" t="s">
        <v>1977</v>
      </c>
      <c r="B185" t="s">
        <v>1948</v>
      </c>
      <c r="C185">
        <v>800</v>
      </c>
      <c r="D185">
        <v>784</v>
      </c>
    </row>
    <row r="186" spans="1:4" x14ac:dyDescent="0.3">
      <c r="A186" t="s">
        <v>1977</v>
      </c>
      <c r="B186" t="s">
        <v>1948</v>
      </c>
      <c r="C186">
        <v>800</v>
      </c>
      <c r="D186">
        <v>792</v>
      </c>
    </row>
    <row r="187" spans="1:4" x14ac:dyDescent="0.3">
      <c r="A187" t="s">
        <v>1977</v>
      </c>
      <c r="B187" t="s">
        <v>1948</v>
      </c>
      <c r="C187">
        <v>800</v>
      </c>
      <c r="D187">
        <v>760</v>
      </c>
    </row>
    <row r="188" spans="1:4" x14ac:dyDescent="0.3">
      <c r="A188" t="s">
        <v>1977</v>
      </c>
      <c r="B188" t="s">
        <v>1948</v>
      </c>
      <c r="C188">
        <v>800</v>
      </c>
      <c r="D188">
        <v>784</v>
      </c>
    </row>
    <row r="189" spans="1:4" x14ac:dyDescent="0.3">
      <c r="A189" t="s">
        <v>1977</v>
      </c>
      <c r="B189" t="s">
        <v>1950</v>
      </c>
      <c r="C189">
        <v>1000</v>
      </c>
      <c r="D189">
        <v>810</v>
      </c>
    </row>
    <row r="190" spans="1:4" x14ac:dyDescent="0.3">
      <c r="A190" t="s">
        <v>1978</v>
      </c>
      <c r="B190" t="s">
        <v>1948</v>
      </c>
      <c r="C190">
        <v>800</v>
      </c>
      <c r="D190">
        <v>776</v>
      </c>
    </row>
    <row r="191" spans="1:4" x14ac:dyDescent="0.3">
      <c r="A191" t="s">
        <v>1978</v>
      </c>
      <c r="B191" t="s">
        <v>1950</v>
      </c>
      <c r="C191">
        <v>1000</v>
      </c>
      <c r="D191">
        <v>740</v>
      </c>
    </row>
    <row r="192" spans="1:4" x14ac:dyDescent="0.3">
      <c r="A192" t="s">
        <v>1978</v>
      </c>
      <c r="B192" t="s">
        <v>1949</v>
      </c>
      <c r="C192">
        <v>700</v>
      </c>
      <c r="D192">
        <v>700</v>
      </c>
    </row>
    <row r="193" spans="1:4" x14ac:dyDescent="0.3">
      <c r="A193" t="s">
        <v>1978</v>
      </c>
      <c r="B193" t="s">
        <v>1950</v>
      </c>
      <c r="C193">
        <v>1000</v>
      </c>
      <c r="D193">
        <v>850</v>
      </c>
    </row>
    <row r="194" spans="1:4" x14ac:dyDescent="0.3">
      <c r="A194" t="s">
        <v>1978</v>
      </c>
      <c r="B194" t="s">
        <v>1950</v>
      </c>
      <c r="C194">
        <v>1000</v>
      </c>
      <c r="D194">
        <v>940</v>
      </c>
    </row>
    <row r="195" spans="1:4" x14ac:dyDescent="0.3">
      <c r="A195" t="s">
        <v>1978</v>
      </c>
      <c r="B195" t="s">
        <v>1949</v>
      </c>
      <c r="C195">
        <v>700</v>
      </c>
      <c r="D195">
        <v>693</v>
      </c>
    </row>
    <row r="196" spans="1:4" x14ac:dyDescent="0.3">
      <c r="A196" t="s">
        <v>1978</v>
      </c>
      <c r="B196" t="s">
        <v>1950</v>
      </c>
      <c r="C196">
        <v>1000</v>
      </c>
      <c r="D196">
        <v>1000</v>
      </c>
    </row>
    <row r="197" spans="1:4" x14ac:dyDescent="0.3">
      <c r="A197" t="s">
        <v>1978</v>
      </c>
      <c r="B197" t="s">
        <v>1949</v>
      </c>
      <c r="C197">
        <v>700</v>
      </c>
      <c r="D197">
        <v>679</v>
      </c>
    </row>
    <row r="198" spans="1:4" x14ac:dyDescent="0.3">
      <c r="A198" t="s">
        <v>1978</v>
      </c>
      <c r="B198" t="s">
        <v>1948</v>
      </c>
      <c r="C198">
        <v>800</v>
      </c>
      <c r="D198">
        <v>688</v>
      </c>
    </row>
    <row r="199" spans="1:4" x14ac:dyDescent="0.3">
      <c r="A199" t="s">
        <v>1979</v>
      </c>
      <c r="B199" t="s">
        <v>1950</v>
      </c>
      <c r="C199">
        <v>1000</v>
      </c>
      <c r="D199">
        <v>920</v>
      </c>
    </row>
    <row r="200" spans="1:4" x14ac:dyDescent="0.3">
      <c r="A200" t="s">
        <v>1979</v>
      </c>
      <c r="B200" t="s">
        <v>1950</v>
      </c>
      <c r="C200">
        <v>1000</v>
      </c>
      <c r="D200">
        <v>980</v>
      </c>
    </row>
    <row r="201" spans="1:4" x14ac:dyDescent="0.3">
      <c r="A201" t="s">
        <v>1979</v>
      </c>
      <c r="B201" t="s">
        <v>1948</v>
      </c>
      <c r="C201">
        <v>800</v>
      </c>
      <c r="D201">
        <v>680</v>
      </c>
    </row>
    <row r="202" spans="1:4" x14ac:dyDescent="0.3">
      <c r="A202" t="s">
        <v>1979</v>
      </c>
      <c r="B202" t="s">
        <v>1949</v>
      </c>
      <c r="C202">
        <v>700</v>
      </c>
      <c r="D202">
        <v>686</v>
      </c>
    </row>
    <row r="203" spans="1:4" x14ac:dyDescent="0.3">
      <c r="A203" t="s">
        <v>1980</v>
      </c>
      <c r="B203" t="s">
        <v>1950</v>
      </c>
      <c r="C203">
        <v>1000</v>
      </c>
      <c r="D203">
        <v>790</v>
      </c>
    </row>
    <row r="204" spans="1:4" x14ac:dyDescent="0.3">
      <c r="A204" t="s">
        <v>1980</v>
      </c>
      <c r="B204" t="s">
        <v>1948</v>
      </c>
      <c r="C204">
        <v>800</v>
      </c>
      <c r="D204">
        <v>784</v>
      </c>
    </row>
    <row r="205" spans="1:4" x14ac:dyDescent="0.3">
      <c r="A205" t="s">
        <v>1980</v>
      </c>
      <c r="B205" t="s">
        <v>1950</v>
      </c>
      <c r="C205">
        <v>1000</v>
      </c>
      <c r="D205">
        <v>690</v>
      </c>
    </row>
    <row r="206" spans="1:4" x14ac:dyDescent="0.3">
      <c r="A206" t="s">
        <v>1980</v>
      </c>
      <c r="B206" t="s">
        <v>1948</v>
      </c>
      <c r="C206">
        <v>800</v>
      </c>
      <c r="D206">
        <v>680</v>
      </c>
    </row>
    <row r="207" spans="1:4" x14ac:dyDescent="0.3">
      <c r="A207" t="s">
        <v>1980</v>
      </c>
      <c r="B207" t="s">
        <v>1948</v>
      </c>
      <c r="C207">
        <v>800</v>
      </c>
      <c r="D207">
        <v>800</v>
      </c>
    </row>
    <row r="208" spans="1:4" x14ac:dyDescent="0.3">
      <c r="A208" t="s">
        <v>1981</v>
      </c>
      <c r="B208" t="s">
        <v>1950</v>
      </c>
      <c r="C208">
        <v>1000</v>
      </c>
      <c r="D208">
        <v>730</v>
      </c>
    </row>
    <row r="209" spans="1:4" x14ac:dyDescent="0.3">
      <c r="A209" t="s">
        <v>1981</v>
      </c>
      <c r="B209" t="s">
        <v>1950</v>
      </c>
      <c r="C209">
        <v>1000</v>
      </c>
      <c r="D209">
        <v>810</v>
      </c>
    </row>
    <row r="210" spans="1:4" x14ac:dyDescent="0.3">
      <c r="A210" t="s">
        <v>1981</v>
      </c>
      <c r="B210" t="s">
        <v>1950</v>
      </c>
      <c r="C210">
        <v>1000</v>
      </c>
      <c r="D210">
        <v>930</v>
      </c>
    </row>
    <row r="211" spans="1:4" x14ac:dyDescent="0.3">
      <c r="A211" t="s">
        <v>1981</v>
      </c>
      <c r="B211" t="s">
        <v>1950</v>
      </c>
      <c r="C211">
        <v>1000</v>
      </c>
      <c r="D211">
        <v>1000</v>
      </c>
    </row>
    <row r="212" spans="1:4" x14ac:dyDescent="0.3">
      <c r="A212" t="s">
        <v>1981</v>
      </c>
      <c r="B212" t="s">
        <v>1950</v>
      </c>
      <c r="C212">
        <v>1000</v>
      </c>
      <c r="D212">
        <v>920</v>
      </c>
    </row>
    <row r="213" spans="1:4" x14ac:dyDescent="0.3">
      <c r="A213" t="s">
        <v>1981</v>
      </c>
      <c r="B213" t="s">
        <v>1950</v>
      </c>
      <c r="C213">
        <v>1000</v>
      </c>
      <c r="D213">
        <v>780</v>
      </c>
    </row>
    <row r="214" spans="1:4" x14ac:dyDescent="0.3">
      <c r="A214" t="s">
        <v>1981</v>
      </c>
      <c r="B214" t="s">
        <v>1950</v>
      </c>
      <c r="C214">
        <v>1000</v>
      </c>
      <c r="D214">
        <v>890</v>
      </c>
    </row>
    <row r="215" spans="1:4" x14ac:dyDescent="0.3">
      <c r="A215" t="s">
        <v>1981</v>
      </c>
      <c r="B215" t="s">
        <v>1948</v>
      </c>
      <c r="C215">
        <v>800</v>
      </c>
      <c r="D215">
        <v>680</v>
      </c>
    </row>
    <row r="216" spans="1:4" x14ac:dyDescent="0.3">
      <c r="A216" t="s">
        <v>1981</v>
      </c>
      <c r="B216" t="s">
        <v>1950</v>
      </c>
      <c r="C216">
        <v>1000</v>
      </c>
      <c r="D216">
        <v>830</v>
      </c>
    </row>
    <row r="217" spans="1:4" x14ac:dyDescent="0.3">
      <c r="A217" t="s">
        <v>1981</v>
      </c>
      <c r="B217" t="s">
        <v>1950</v>
      </c>
      <c r="C217">
        <v>1000</v>
      </c>
      <c r="D217">
        <v>920</v>
      </c>
    </row>
    <row r="218" spans="1:4" x14ac:dyDescent="0.3">
      <c r="A218" t="s">
        <v>1981</v>
      </c>
      <c r="B218" t="s">
        <v>1950</v>
      </c>
      <c r="C218">
        <v>1000</v>
      </c>
      <c r="D218">
        <v>920</v>
      </c>
    </row>
    <row r="219" spans="1:4" x14ac:dyDescent="0.3">
      <c r="A219" t="s">
        <v>1981</v>
      </c>
      <c r="B219" t="s">
        <v>1948</v>
      </c>
      <c r="C219">
        <v>800</v>
      </c>
      <c r="D219">
        <v>760</v>
      </c>
    </row>
    <row r="220" spans="1:4" x14ac:dyDescent="0.3">
      <c r="A220" t="s">
        <v>1981</v>
      </c>
      <c r="B220" t="s">
        <v>1950</v>
      </c>
      <c r="C220">
        <v>1000</v>
      </c>
      <c r="D220">
        <v>780</v>
      </c>
    </row>
    <row r="221" spans="1:4" x14ac:dyDescent="0.3">
      <c r="A221" t="s">
        <v>1981</v>
      </c>
      <c r="B221" t="s">
        <v>1950</v>
      </c>
      <c r="C221">
        <v>1000</v>
      </c>
      <c r="D221">
        <v>950</v>
      </c>
    </row>
    <row r="222" spans="1:4" x14ac:dyDescent="0.3">
      <c r="A222" t="s">
        <v>1982</v>
      </c>
      <c r="B222" t="s">
        <v>1949</v>
      </c>
      <c r="C222">
        <v>700</v>
      </c>
      <c r="D222">
        <v>700</v>
      </c>
    </row>
    <row r="223" spans="1:4" x14ac:dyDescent="0.3">
      <c r="A223" t="s">
        <v>1982</v>
      </c>
      <c r="B223" t="s">
        <v>1948</v>
      </c>
      <c r="C223">
        <v>800</v>
      </c>
      <c r="D223">
        <v>776</v>
      </c>
    </row>
    <row r="224" spans="1:4" x14ac:dyDescent="0.3">
      <c r="A224" t="s">
        <v>1982</v>
      </c>
      <c r="B224" t="s">
        <v>1948</v>
      </c>
      <c r="C224">
        <v>800</v>
      </c>
      <c r="D224">
        <v>680</v>
      </c>
    </row>
    <row r="225" spans="1:4" x14ac:dyDescent="0.3">
      <c r="A225" t="s">
        <v>1982</v>
      </c>
      <c r="B225" t="s">
        <v>1949</v>
      </c>
      <c r="C225">
        <v>700</v>
      </c>
      <c r="D225">
        <v>693</v>
      </c>
    </row>
    <row r="226" spans="1:4" x14ac:dyDescent="0.3">
      <c r="A226" t="s">
        <v>1982</v>
      </c>
      <c r="B226" t="s">
        <v>1949</v>
      </c>
      <c r="C226">
        <v>700</v>
      </c>
      <c r="D226">
        <v>700</v>
      </c>
    </row>
    <row r="227" spans="1:4" x14ac:dyDescent="0.3">
      <c r="A227" t="s">
        <v>1982</v>
      </c>
      <c r="B227" t="s">
        <v>1950</v>
      </c>
      <c r="C227">
        <v>1000</v>
      </c>
      <c r="D227">
        <v>700</v>
      </c>
    </row>
    <row r="228" spans="1:4" x14ac:dyDescent="0.3">
      <c r="A228" t="s">
        <v>1982</v>
      </c>
      <c r="B228" t="s">
        <v>1950</v>
      </c>
      <c r="C228">
        <v>1000</v>
      </c>
      <c r="D228">
        <v>710</v>
      </c>
    </row>
    <row r="229" spans="1:4" x14ac:dyDescent="0.3">
      <c r="A229" t="s">
        <v>1982</v>
      </c>
      <c r="B229" t="s">
        <v>1949</v>
      </c>
      <c r="C229">
        <v>700</v>
      </c>
      <c r="D229">
        <v>693</v>
      </c>
    </row>
    <row r="230" spans="1:4" x14ac:dyDescent="0.3">
      <c r="A230" t="s">
        <v>1982</v>
      </c>
      <c r="B230" t="s">
        <v>1948</v>
      </c>
      <c r="C230">
        <v>800</v>
      </c>
      <c r="D230">
        <v>696</v>
      </c>
    </row>
    <row r="231" spans="1:4" x14ac:dyDescent="0.3">
      <c r="A231" t="s">
        <v>1982</v>
      </c>
      <c r="B231" t="s">
        <v>1950</v>
      </c>
      <c r="C231">
        <v>1000</v>
      </c>
      <c r="D231">
        <v>990</v>
      </c>
    </row>
    <row r="232" spans="1:4" x14ac:dyDescent="0.3">
      <c r="A232" t="s">
        <v>1982</v>
      </c>
      <c r="B232" t="s">
        <v>1949</v>
      </c>
      <c r="C232">
        <v>700</v>
      </c>
      <c r="D232">
        <v>700</v>
      </c>
    </row>
    <row r="233" spans="1:4" x14ac:dyDescent="0.3">
      <c r="A233" t="s">
        <v>1982</v>
      </c>
      <c r="B233" t="s">
        <v>1950</v>
      </c>
      <c r="C233">
        <v>1000</v>
      </c>
      <c r="D233">
        <v>940</v>
      </c>
    </row>
    <row r="234" spans="1:4" x14ac:dyDescent="0.3">
      <c r="A234" t="s">
        <v>1982</v>
      </c>
      <c r="B234" t="s">
        <v>1948</v>
      </c>
      <c r="C234">
        <v>800</v>
      </c>
      <c r="D234">
        <v>696</v>
      </c>
    </row>
    <row r="235" spans="1:4" x14ac:dyDescent="0.3">
      <c r="A235" t="s">
        <v>1982</v>
      </c>
      <c r="B235" t="s">
        <v>1950</v>
      </c>
      <c r="C235">
        <v>1000</v>
      </c>
      <c r="D235">
        <v>990</v>
      </c>
    </row>
    <row r="236" spans="1:4" x14ac:dyDescent="0.3">
      <c r="A236" t="s">
        <v>1982</v>
      </c>
      <c r="B236" t="s">
        <v>1950</v>
      </c>
      <c r="C236">
        <v>1000</v>
      </c>
      <c r="D236">
        <v>1000</v>
      </c>
    </row>
    <row r="237" spans="1:4" x14ac:dyDescent="0.3">
      <c r="A237" t="s">
        <v>1982</v>
      </c>
      <c r="B237" t="s">
        <v>1950</v>
      </c>
      <c r="C237">
        <v>1000</v>
      </c>
      <c r="D237">
        <v>810</v>
      </c>
    </row>
    <row r="238" spans="1:4" x14ac:dyDescent="0.3">
      <c r="A238" t="s">
        <v>1982</v>
      </c>
      <c r="B238" t="s">
        <v>1950</v>
      </c>
      <c r="C238">
        <v>1000</v>
      </c>
      <c r="D238">
        <v>760</v>
      </c>
    </row>
    <row r="239" spans="1:4" x14ac:dyDescent="0.3">
      <c r="A239" t="s">
        <v>1982</v>
      </c>
      <c r="B239" t="s">
        <v>1949</v>
      </c>
      <c r="C239">
        <v>700</v>
      </c>
      <c r="D239">
        <v>700</v>
      </c>
    </row>
    <row r="240" spans="1:4" x14ac:dyDescent="0.3">
      <c r="A240" t="s">
        <v>1982</v>
      </c>
      <c r="B240" t="s">
        <v>1950</v>
      </c>
      <c r="C240">
        <v>1000</v>
      </c>
      <c r="D240">
        <v>740</v>
      </c>
    </row>
    <row r="241" spans="1:4" x14ac:dyDescent="0.3">
      <c r="A241" t="s">
        <v>1982</v>
      </c>
      <c r="B241" t="s">
        <v>1948</v>
      </c>
      <c r="C241">
        <v>800</v>
      </c>
      <c r="D241">
        <v>696</v>
      </c>
    </row>
    <row r="242" spans="1:4" x14ac:dyDescent="0.3">
      <c r="A242" t="s">
        <v>1982</v>
      </c>
      <c r="B242" t="s">
        <v>1950</v>
      </c>
      <c r="C242">
        <v>1000</v>
      </c>
      <c r="D242">
        <v>680</v>
      </c>
    </row>
    <row r="243" spans="1:4" x14ac:dyDescent="0.3">
      <c r="A243" t="s">
        <v>1982</v>
      </c>
      <c r="B243" t="s">
        <v>1948</v>
      </c>
      <c r="C243">
        <v>800</v>
      </c>
      <c r="D243">
        <v>792</v>
      </c>
    </row>
    <row r="244" spans="1:4" x14ac:dyDescent="0.3">
      <c r="A244" t="s">
        <v>1982</v>
      </c>
      <c r="B244" t="s">
        <v>1948</v>
      </c>
      <c r="C244">
        <v>800</v>
      </c>
      <c r="D244">
        <v>776</v>
      </c>
    </row>
    <row r="245" spans="1:4" x14ac:dyDescent="0.3">
      <c r="A245" t="s">
        <v>1982</v>
      </c>
      <c r="B245" t="s">
        <v>1950</v>
      </c>
      <c r="C245">
        <v>1000</v>
      </c>
      <c r="D245">
        <v>690</v>
      </c>
    </row>
    <row r="246" spans="1:4" x14ac:dyDescent="0.3">
      <c r="A246" t="s">
        <v>1982</v>
      </c>
      <c r="B246" t="s">
        <v>1949</v>
      </c>
      <c r="C246">
        <v>700</v>
      </c>
      <c r="D246">
        <v>700</v>
      </c>
    </row>
    <row r="247" spans="1:4" x14ac:dyDescent="0.3">
      <c r="A247" t="s">
        <v>1982</v>
      </c>
      <c r="B247" t="s">
        <v>1950</v>
      </c>
      <c r="C247">
        <v>1000</v>
      </c>
      <c r="D247">
        <v>910</v>
      </c>
    </row>
    <row r="248" spans="1:4" x14ac:dyDescent="0.3">
      <c r="A248" t="s">
        <v>1982</v>
      </c>
      <c r="B248" t="s">
        <v>1950</v>
      </c>
      <c r="C248">
        <v>1000</v>
      </c>
      <c r="D248">
        <v>780</v>
      </c>
    </row>
    <row r="249" spans="1:4" x14ac:dyDescent="0.3">
      <c r="A249" t="s">
        <v>1982</v>
      </c>
      <c r="B249" t="s">
        <v>1949</v>
      </c>
      <c r="C249">
        <v>700</v>
      </c>
      <c r="D249">
        <v>686</v>
      </c>
    </row>
    <row r="250" spans="1:4" x14ac:dyDescent="0.3">
      <c r="A250" t="s">
        <v>1983</v>
      </c>
      <c r="B250" t="s">
        <v>1948</v>
      </c>
      <c r="C250">
        <v>800</v>
      </c>
      <c r="D250">
        <v>800</v>
      </c>
    </row>
    <row r="251" spans="1:4" x14ac:dyDescent="0.3">
      <c r="A251" t="s">
        <v>1983</v>
      </c>
      <c r="B251" t="s">
        <v>1948</v>
      </c>
      <c r="C251">
        <v>800</v>
      </c>
      <c r="D251">
        <v>752</v>
      </c>
    </row>
    <row r="252" spans="1:4" x14ac:dyDescent="0.3">
      <c r="A252" t="s">
        <v>1947</v>
      </c>
      <c r="B252" t="s">
        <v>1984</v>
      </c>
      <c r="C252">
        <v>80</v>
      </c>
      <c r="D252">
        <v>74</v>
      </c>
    </row>
    <row r="253" spans="1:4" x14ac:dyDescent="0.3">
      <c r="A253" t="s">
        <v>1947</v>
      </c>
      <c r="B253" t="s">
        <v>1985</v>
      </c>
      <c r="C253">
        <v>250</v>
      </c>
      <c r="D253">
        <v>250</v>
      </c>
    </row>
    <row r="254" spans="1:4" x14ac:dyDescent="0.3">
      <c r="A254" t="s">
        <v>1947</v>
      </c>
      <c r="B254" t="s">
        <v>1985</v>
      </c>
      <c r="C254">
        <v>250</v>
      </c>
      <c r="D254">
        <v>228</v>
      </c>
    </row>
    <row r="255" spans="1:4" x14ac:dyDescent="0.3">
      <c r="A255" t="s">
        <v>1947</v>
      </c>
      <c r="B255" t="s">
        <v>1948</v>
      </c>
      <c r="C255">
        <v>800</v>
      </c>
      <c r="D255">
        <v>496</v>
      </c>
    </row>
    <row r="256" spans="1:4" x14ac:dyDescent="0.3">
      <c r="A256" t="s">
        <v>1947</v>
      </c>
      <c r="B256" t="s">
        <v>1986</v>
      </c>
      <c r="C256">
        <v>500</v>
      </c>
      <c r="D256">
        <v>495</v>
      </c>
    </row>
    <row r="257" spans="1:4" x14ac:dyDescent="0.3">
      <c r="A257" t="s">
        <v>1947</v>
      </c>
      <c r="B257" t="s">
        <v>1949</v>
      </c>
      <c r="C257">
        <v>700</v>
      </c>
      <c r="D257">
        <v>623</v>
      </c>
    </row>
    <row r="258" spans="1:4" x14ac:dyDescent="0.3">
      <c r="A258" t="s">
        <v>1947</v>
      </c>
      <c r="B258" t="s">
        <v>1987</v>
      </c>
      <c r="C258">
        <v>50</v>
      </c>
      <c r="D258">
        <v>48</v>
      </c>
    </row>
    <row r="259" spans="1:4" x14ac:dyDescent="0.3">
      <c r="A259" t="s">
        <v>1947</v>
      </c>
      <c r="B259" t="s">
        <v>1948</v>
      </c>
      <c r="C259">
        <v>800</v>
      </c>
      <c r="D259">
        <v>440</v>
      </c>
    </row>
    <row r="260" spans="1:4" x14ac:dyDescent="0.3">
      <c r="A260" t="s">
        <v>1947</v>
      </c>
      <c r="B260" t="s">
        <v>1986</v>
      </c>
      <c r="C260">
        <v>500</v>
      </c>
      <c r="D260">
        <v>495</v>
      </c>
    </row>
    <row r="261" spans="1:4" x14ac:dyDescent="0.3">
      <c r="A261" t="s">
        <v>1947</v>
      </c>
      <c r="B261" t="s">
        <v>1985</v>
      </c>
      <c r="C261">
        <v>250</v>
      </c>
      <c r="D261">
        <v>213</v>
      </c>
    </row>
    <row r="262" spans="1:4" x14ac:dyDescent="0.3">
      <c r="A262" t="s">
        <v>1947</v>
      </c>
      <c r="B262" t="s">
        <v>1986</v>
      </c>
      <c r="C262">
        <v>500</v>
      </c>
      <c r="D262">
        <v>495</v>
      </c>
    </row>
    <row r="263" spans="1:4" x14ac:dyDescent="0.3">
      <c r="A263" t="s">
        <v>1947</v>
      </c>
      <c r="B263" t="s">
        <v>1988</v>
      </c>
      <c r="C263">
        <v>70</v>
      </c>
      <c r="D263">
        <v>64</v>
      </c>
    </row>
    <row r="264" spans="1:4" x14ac:dyDescent="0.3">
      <c r="A264" t="s">
        <v>1947</v>
      </c>
      <c r="B264" t="s">
        <v>1984</v>
      </c>
      <c r="C264">
        <v>80</v>
      </c>
      <c r="D264">
        <v>74</v>
      </c>
    </row>
    <row r="265" spans="1:4" x14ac:dyDescent="0.3">
      <c r="A265" t="s">
        <v>1947</v>
      </c>
      <c r="B265" t="s">
        <v>1985</v>
      </c>
      <c r="C265">
        <v>250</v>
      </c>
      <c r="D265">
        <v>235</v>
      </c>
    </row>
    <row r="266" spans="1:4" x14ac:dyDescent="0.3">
      <c r="A266" t="s">
        <v>1947</v>
      </c>
      <c r="B266" t="s">
        <v>1948</v>
      </c>
      <c r="C266">
        <v>800</v>
      </c>
      <c r="D266">
        <v>608</v>
      </c>
    </row>
    <row r="267" spans="1:4" x14ac:dyDescent="0.3">
      <c r="A267" t="s">
        <v>1947</v>
      </c>
      <c r="B267" t="s">
        <v>1989</v>
      </c>
      <c r="C267">
        <v>150</v>
      </c>
      <c r="D267">
        <v>146</v>
      </c>
    </row>
    <row r="268" spans="1:4" x14ac:dyDescent="0.3">
      <c r="A268" t="s">
        <v>1947</v>
      </c>
      <c r="B268" t="s">
        <v>1990</v>
      </c>
      <c r="C268">
        <v>50</v>
      </c>
      <c r="D268">
        <v>46</v>
      </c>
    </row>
    <row r="269" spans="1:4" x14ac:dyDescent="0.3">
      <c r="A269" t="s">
        <v>1947</v>
      </c>
      <c r="B269" t="s">
        <v>1991</v>
      </c>
      <c r="C269">
        <v>500</v>
      </c>
      <c r="D269">
        <v>465</v>
      </c>
    </row>
    <row r="270" spans="1:4" x14ac:dyDescent="0.3">
      <c r="A270" t="s">
        <v>1947</v>
      </c>
      <c r="B270" t="s">
        <v>1985</v>
      </c>
      <c r="C270">
        <v>250</v>
      </c>
      <c r="D270">
        <v>243</v>
      </c>
    </row>
    <row r="271" spans="1:4" x14ac:dyDescent="0.3">
      <c r="A271" t="s">
        <v>1947</v>
      </c>
      <c r="B271" t="s">
        <v>1984</v>
      </c>
      <c r="C271">
        <v>80</v>
      </c>
      <c r="D271">
        <v>73</v>
      </c>
    </row>
    <row r="272" spans="1:4" x14ac:dyDescent="0.3">
      <c r="A272" t="s">
        <v>1947</v>
      </c>
      <c r="B272" t="s">
        <v>1990</v>
      </c>
      <c r="C272">
        <v>50</v>
      </c>
      <c r="D272">
        <v>49</v>
      </c>
    </row>
    <row r="273" spans="1:4" x14ac:dyDescent="0.3">
      <c r="A273" t="s">
        <v>1947</v>
      </c>
      <c r="B273" t="s">
        <v>1987</v>
      </c>
      <c r="C273">
        <v>50</v>
      </c>
      <c r="D273">
        <v>46</v>
      </c>
    </row>
    <row r="274" spans="1:4" x14ac:dyDescent="0.3">
      <c r="A274" t="s">
        <v>1947</v>
      </c>
      <c r="B274" t="s">
        <v>1984</v>
      </c>
      <c r="C274">
        <v>80</v>
      </c>
      <c r="D274">
        <v>76</v>
      </c>
    </row>
    <row r="275" spans="1:4" x14ac:dyDescent="0.3">
      <c r="A275" t="s">
        <v>1947</v>
      </c>
      <c r="B275" t="s">
        <v>1949</v>
      </c>
      <c r="C275">
        <v>700</v>
      </c>
      <c r="D275">
        <v>672</v>
      </c>
    </row>
    <row r="276" spans="1:4" x14ac:dyDescent="0.3">
      <c r="A276" t="s">
        <v>1947</v>
      </c>
      <c r="B276" t="s">
        <v>1989</v>
      </c>
      <c r="C276">
        <v>150</v>
      </c>
      <c r="D276">
        <v>150</v>
      </c>
    </row>
    <row r="277" spans="1:4" x14ac:dyDescent="0.3">
      <c r="A277" t="s">
        <v>1947</v>
      </c>
      <c r="B277" t="s">
        <v>1987</v>
      </c>
      <c r="C277">
        <v>50</v>
      </c>
      <c r="D277">
        <v>46</v>
      </c>
    </row>
    <row r="278" spans="1:4" x14ac:dyDescent="0.3">
      <c r="A278" t="s">
        <v>1947</v>
      </c>
      <c r="B278" t="s">
        <v>1990</v>
      </c>
      <c r="C278">
        <v>50</v>
      </c>
      <c r="D278">
        <v>47</v>
      </c>
    </row>
    <row r="279" spans="1:4" x14ac:dyDescent="0.3">
      <c r="A279" t="s">
        <v>1947</v>
      </c>
      <c r="B279" t="s">
        <v>1988</v>
      </c>
      <c r="C279">
        <v>70</v>
      </c>
      <c r="D279">
        <v>66</v>
      </c>
    </row>
    <row r="280" spans="1:4" x14ac:dyDescent="0.3">
      <c r="A280" t="s">
        <v>1947</v>
      </c>
      <c r="B280" t="s">
        <v>1990</v>
      </c>
      <c r="C280">
        <v>50</v>
      </c>
      <c r="D280">
        <v>49</v>
      </c>
    </row>
    <row r="281" spans="1:4" x14ac:dyDescent="0.3">
      <c r="A281" t="s">
        <v>1947</v>
      </c>
      <c r="B281" t="s">
        <v>1985</v>
      </c>
      <c r="C281">
        <v>250</v>
      </c>
      <c r="D281">
        <v>235</v>
      </c>
    </row>
    <row r="282" spans="1:4" x14ac:dyDescent="0.3">
      <c r="A282" t="s">
        <v>1947</v>
      </c>
      <c r="B282" t="s">
        <v>1984</v>
      </c>
      <c r="C282">
        <v>80</v>
      </c>
      <c r="D282">
        <v>79</v>
      </c>
    </row>
    <row r="283" spans="1:4" x14ac:dyDescent="0.3">
      <c r="A283" t="s">
        <v>1947</v>
      </c>
      <c r="B283" t="s">
        <v>1948</v>
      </c>
      <c r="C283">
        <v>800</v>
      </c>
      <c r="D283">
        <v>584</v>
      </c>
    </row>
    <row r="284" spans="1:4" x14ac:dyDescent="0.3">
      <c r="A284" t="s">
        <v>1947</v>
      </c>
      <c r="B284" t="s">
        <v>1986</v>
      </c>
      <c r="C284">
        <v>500</v>
      </c>
      <c r="D284">
        <v>490</v>
      </c>
    </row>
    <row r="285" spans="1:4" x14ac:dyDescent="0.3">
      <c r="A285" t="s">
        <v>1947</v>
      </c>
      <c r="B285" t="s">
        <v>1985</v>
      </c>
      <c r="C285">
        <v>250</v>
      </c>
      <c r="D285">
        <v>225</v>
      </c>
    </row>
    <row r="286" spans="1:4" x14ac:dyDescent="0.3">
      <c r="A286" t="s">
        <v>1947</v>
      </c>
      <c r="B286" t="s">
        <v>1988</v>
      </c>
      <c r="C286">
        <v>70</v>
      </c>
      <c r="D286">
        <v>69</v>
      </c>
    </row>
    <row r="287" spans="1:4" x14ac:dyDescent="0.3">
      <c r="A287" t="s">
        <v>1947</v>
      </c>
      <c r="B287" t="s">
        <v>1948</v>
      </c>
      <c r="C287">
        <v>800</v>
      </c>
      <c r="D287">
        <v>480</v>
      </c>
    </row>
    <row r="288" spans="1:4" x14ac:dyDescent="0.3">
      <c r="A288" t="s">
        <v>1947</v>
      </c>
      <c r="B288" t="s">
        <v>1948</v>
      </c>
      <c r="C288">
        <v>800</v>
      </c>
      <c r="D288">
        <v>592</v>
      </c>
    </row>
    <row r="289" spans="1:4" x14ac:dyDescent="0.3">
      <c r="A289" t="s">
        <v>1947</v>
      </c>
      <c r="B289" t="s">
        <v>1984</v>
      </c>
      <c r="C289">
        <v>80</v>
      </c>
      <c r="D289">
        <v>62</v>
      </c>
    </row>
    <row r="290" spans="1:4" x14ac:dyDescent="0.3">
      <c r="A290" t="s">
        <v>1947</v>
      </c>
      <c r="B290" t="s">
        <v>1992</v>
      </c>
      <c r="C290">
        <v>30</v>
      </c>
      <c r="D290">
        <v>27</v>
      </c>
    </row>
    <row r="291" spans="1:4" x14ac:dyDescent="0.3">
      <c r="A291" t="s">
        <v>1947</v>
      </c>
      <c r="B291" t="s">
        <v>1992</v>
      </c>
      <c r="C291">
        <v>30</v>
      </c>
      <c r="D291">
        <v>27</v>
      </c>
    </row>
    <row r="292" spans="1:4" x14ac:dyDescent="0.3">
      <c r="A292" t="s">
        <v>1947</v>
      </c>
      <c r="B292" t="s">
        <v>1986</v>
      </c>
      <c r="C292">
        <v>500</v>
      </c>
      <c r="D292">
        <v>490</v>
      </c>
    </row>
    <row r="293" spans="1:4" x14ac:dyDescent="0.3">
      <c r="A293" t="s">
        <v>1947</v>
      </c>
      <c r="B293" t="s">
        <v>1986</v>
      </c>
      <c r="C293">
        <v>500</v>
      </c>
      <c r="D293">
        <v>490</v>
      </c>
    </row>
    <row r="294" spans="1:4" x14ac:dyDescent="0.3">
      <c r="A294" t="s">
        <v>1947</v>
      </c>
      <c r="B294" t="s">
        <v>1992</v>
      </c>
      <c r="C294">
        <v>30</v>
      </c>
      <c r="D294">
        <v>24</v>
      </c>
    </row>
    <row r="295" spans="1:4" x14ac:dyDescent="0.3">
      <c r="A295" t="s">
        <v>1947</v>
      </c>
      <c r="B295" t="s">
        <v>1988</v>
      </c>
      <c r="C295">
        <v>70</v>
      </c>
      <c r="D295">
        <v>64</v>
      </c>
    </row>
    <row r="296" spans="1:4" x14ac:dyDescent="0.3">
      <c r="A296" t="s">
        <v>1947</v>
      </c>
      <c r="B296" t="s">
        <v>1988</v>
      </c>
      <c r="C296">
        <v>70</v>
      </c>
      <c r="D296">
        <v>45</v>
      </c>
    </row>
    <row r="297" spans="1:4" x14ac:dyDescent="0.3">
      <c r="A297" t="s">
        <v>1947</v>
      </c>
      <c r="B297" t="s">
        <v>1984</v>
      </c>
      <c r="C297">
        <v>80</v>
      </c>
      <c r="D297">
        <v>57</v>
      </c>
    </row>
    <row r="298" spans="1:4" x14ac:dyDescent="0.3">
      <c r="A298" t="s">
        <v>1947</v>
      </c>
      <c r="B298" t="s">
        <v>1992</v>
      </c>
      <c r="C298">
        <v>30</v>
      </c>
      <c r="D298">
        <v>20</v>
      </c>
    </row>
    <row r="299" spans="1:4" x14ac:dyDescent="0.3">
      <c r="A299" t="s">
        <v>1947</v>
      </c>
      <c r="B299" t="s">
        <v>1984</v>
      </c>
      <c r="C299">
        <v>80</v>
      </c>
      <c r="D299">
        <v>70</v>
      </c>
    </row>
    <row r="300" spans="1:4" x14ac:dyDescent="0.3">
      <c r="A300" t="s">
        <v>1947</v>
      </c>
      <c r="B300" t="s">
        <v>1991</v>
      </c>
      <c r="C300">
        <v>500</v>
      </c>
      <c r="D300">
        <v>380</v>
      </c>
    </row>
    <row r="301" spans="1:4" x14ac:dyDescent="0.3">
      <c r="A301" t="s">
        <v>1947</v>
      </c>
      <c r="B301" t="s">
        <v>1986</v>
      </c>
      <c r="C301">
        <v>500</v>
      </c>
      <c r="D301">
        <v>495</v>
      </c>
    </row>
    <row r="302" spans="1:4" x14ac:dyDescent="0.3">
      <c r="A302" t="s">
        <v>1947</v>
      </c>
      <c r="B302" t="s">
        <v>1986</v>
      </c>
      <c r="C302">
        <v>500</v>
      </c>
      <c r="D302">
        <v>495</v>
      </c>
    </row>
    <row r="303" spans="1:4" x14ac:dyDescent="0.3">
      <c r="A303" t="s">
        <v>1947</v>
      </c>
      <c r="B303" t="s">
        <v>1985</v>
      </c>
      <c r="C303">
        <v>250</v>
      </c>
      <c r="D303">
        <v>208</v>
      </c>
    </row>
    <row r="304" spans="1:4" x14ac:dyDescent="0.3">
      <c r="A304" t="s">
        <v>1947</v>
      </c>
      <c r="B304" t="s">
        <v>1992</v>
      </c>
      <c r="C304">
        <v>30</v>
      </c>
      <c r="D304">
        <v>22</v>
      </c>
    </row>
    <row r="305" spans="1:4" x14ac:dyDescent="0.3">
      <c r="A305" t="s">
        <v>1947</v>
      </c>
      <c r="B305" t="s">
        <v>1991</v>
      </c>
      <c r="C305">
        <v>500</v>
      </c>
      <c r="D305">
        <v>485</v>
      </c>
    </row>
    <row r="306" spans="1:4" x14ac:dyDescent="0.3">
      <c r="A306" t="s">
        <v>1951</v>
      </c>
      <c r="B306" t="s">
        <v>1987</v>
      </c>
      <c r="C306">
        <v>50</v>
      </c>
      <c r="D306">
        <v>45</v>
      </c>
    </row>
    <row r="307" spans="1:4" x14ac:dyDescent="0.3">
      <c r="A307" t="s">
        <v>1951</v>
      </c>
      <c r="B307" t="s">
        <v>1987</v>
      </c>
      <c r="C307">
        <v>50</v>
      </c>
      <c r="D307">
        <v>44</v>
      </c>
    </row>
    <row r="308" spans="1:4" x14ac:dyDescent="0.3">
      <c r="A308" t="s">
        <v>1951</v>
      </c>
      <c r="B308" t="s">
        <v>1950</v>
      </c>
      <c r="C308">
        <v>1000</v>
      </c>
      <c r="D308">
        <v>570</v>
      </c>
    </row>
    <row r="309" spans="1:4" x14ac:dyDescent="0.3">
      <c r="A309" t="s">
        <v>1951</v>
      </c>
      <c r="B309" t="s">
        <v>1949</v>
      </c>
      <c r="C309">
        <v>700</v>
      </c>
      <c r="D309">
        <v>651</v>
      </c>
    </row>
    <row r="310" spans="1:4" x14ac:dyDescent="0.3">
      <c r="A310" t="s">
        <v>1951</v>
      </c>
      <c r="B310" t="s">
        <v>1989</v>
      </c>
      <c r="C310">
        <v>150</v>
      </c>
      <c r="D310">
        <v>128</v>
      </c>
    </row>
    <row r="311" spans="1:4" x14ac:dyDescent="0.3">
      <c r="A311" t="s">
        <v>1951</v>
      </c>
      <c r="B311" t="s">
        <v>1985</v>
      </c>
      <c r="C311">
        <v>250</v>
      </c>
      <c r="D311">
        <v>248</v>
      </c>
    </row>
    <row r="312" spans="1:4" x14ac:dyDescent="0.3">
      <c r="A312" t="s">
        <v>1951</v>
      </c>
      <c r="B312" t="s">
        <v>1985</v>
      </c>
      <c r="C312">
        <v>250</v>
      </c>
      <c r="D312">
        <v>235</v>
      </c>
    </row>
    <row r="313" spans="1:4" x14ac:dyDescent="0.3">
      <c r="A313" t="s">
        <v>1951</v>
      </c>
      <c r="B313" t="s">
        <v>1986</v>
      </c>
      <c r="C313">
        <v>500</v>
      </c>
      <c r="D313">
        <v>490</v>
      </c>
    </row>
    <row r="314" spans="1:4" x14ac:dyDescent="0.3">
      <c r="A314" t="s">
        <v>1951</v>
      </c>
      <c r="B314" t="s">
        <v>1992</v>
      </c>
      <c r="C314">
        <v>30</v>
      </c>
      <c r="D314">
        <v>28</v>
      </c>
    </row>
    <row r="315" spans="1:4" x14ac:dyDescent="0.3">
      <c r="A315" t="s">
        <v>1951</v>
      </c>
      <c r="B315" t="s">
        <v>1949</v>
      </c>
      <c r="C315">
        <v>700</v>
      </c>
      <c r="D315">
        <v>658</v>
      </c>
    </row>
    <row r="316" spans="1:4" x14ac:dyDescent="0.3">
      <c r="A316" t="s">
        <v>1951</v>
      </c>
      <c r="B316" t="s">
        <v>1948</v>
      </c>
      <c r="C316">
        <v>800</v>
      </c>
      <c r="D316">
        <v>440</v>
      </c>
    </row>
    <row r="317" spans="1:4" x14ac:dyDescent="0.3">
      <c r="A317" t="s">
        <v>1951</v>
      </c>
      <c r="B317" t="s">
        <v>1950</v>
      </c>
      <c r="C317">
        <v>1000</v>
      </c>
      <c r="D317">
        <v>560</v>
      </c>
    </row>
    <row r="318" spans="1:4" x14ac:dyDescent="0.3">
      <c r="A318" t="s">
        <v>1951</v>
      </c>
      <c r="B318" t="s">
        <v>1985</v>
      </c>
      <c r="C318">
        <v>250</v>
      </c>
      <c r="D318">
        <v>243</v>
      </c>
    </row>
    <row r="319" spans="1:4" x14ac:dyDescent="0.3">
      <c r="A319" t="s">
        <v>1951</v>
      </c>
      <c r="B319" t="s">
        <v>1986</v>
      </c>
      <c r="C319">
        <v>500</v>
      </c>
      <c r="D319">
        <v>490</v>
      </c>
    </row>
    <row r="320" spans="1:4" x14ac:dyDescent="0.3">
      <c r="A320" t="s">
        <v>1951</v>
      </c>
      <c r="B320" t="s">
        <v>1987</v>
      </c>
      <c r="C320">
        <v>50</v>
      </c>
      <c r="D320">
        <v>49</v>
      </c>
    </row>
    <row r="321" spans="1:4" x14ac:dyDescent="0.3">
      <c r="A321" t="s">
        <v>1951</v>
      </c>
      <c r="B321" t="s">
        <v>1986</v>
      </c>
      <c r="C321">
        <v>500</v>
      </c>
      <c r="D321">
        <v>500</v>
      </c>
    </row>
    <row r="322" spans="1:4" x14ac:dyDescent="0.3">
      <c r="A322" t="s">
        <v>1951</v>
      </c>
      <c r="B322" t="s">
        <v>1985</v>
      </c>
      <c r="C322">
        <v>250</v>
      </c>
      <c r="D322">
        <v>243</v>
      </c>
    </row>
    <row r="323" spans="1:4" x14ac:dyDescent="0.3">
      <c r="A323" t="s">
        <v>1951</v>
      </c>
      <c r="B323" t="s">
        <v>1990</v>
      </c>
      <c r="C323">
        <v>50</v>
      </c>
      <c r="D323">
        <v>50</v>
      </c>
    </row>
    <row r="324" spans="1:4" x14ac:dyDescent="0.3">
      <c r="A324" t="s">
        <v>1951</v>
      </c>
      <c r="B324" t="s">
        <v>1989</v>
      </c>
      <c r="C324">
        <v>150</v>
      </c>
      <c r="D324">
        <v>140</v>
      </c>
    </row>
    <row r="325" spans="1:4" x14ac:dyDescent="0.3">
      <c r="A325" t="s">
        <v>1951</v>
      </c>
      <c r="B325" t="s">
        <v>1992</v>
      </c>
      <c r="C325">
        <v>30</v>
      </c>
      <c r="D325">
        <v>26</v>
      </c>
    </row>
    <row r="326" spans="1:4" x14ac:dyDescent="0.3">
      <c r="A326" t="s">
        <v>1951</v>
      </c>
      <c r="B326" t="s">
        <v>1984</v>
      </c>
      <c r="C326">
        <v>80</v>
      </c>
      <c r="D326">
        <v>71</v>
      </c>
    </row>
    <row r="327" spans="1:4" x14ac:dyDescent="0.3">
      <c r="A327" t="s">
        <v>1951</v>
      </c>
      <c r="B327" t="s">
        <v>1992</v>
      </c>
      <c r="C327">
        <v>30</v>
      </c>
      <c r="D327">
        <v>28</v>
      </c>
    </row>
    <row r="328" spans="1:4" x14ac:dyDescent="0.3">
      <c r="A328" t="s">
        <v>1951</v>
      </c>
      <c r="B328" t="s">
        <v>1988</v>
      </c>
      <c r="C328">
        <v>70</v>
      </c>
      <c r="D328">
        <v>63</v>
      </c>
    </row>
    <row r="329" spans="1:4" x14ac:dyDescent="0.3">
      <c r="A329" t="s">
        <v>1951</v>
      </c>
      <c r="B329" t="s">
        <v>1986</v>
      </c>
      <c r="C329">
        <v>500</v>
      </c>
      <c r="D329">
        <v>500</v>
      </c>
    </row>
    <row r="330" spans="1:4" x14ac:dyDescent="0.3">
      <c r="A330" t="s">
        <v>1951</v>
      </c>
      <c r="B330" t="s">
        <v>1984</v>
      </c>
      <c r="C330">
        <v>80</v>
      </c>
      <c r="D330">
        <v>74</v>
      </c>
    </row>
    <row r="331" spans="1:4" x14ac:dyDescent="0.3">
      <c r="A331" t="s">
        <v>1951</v>
      </c>
      <c r="B331" t="s">
        <v>1948</v>
      </c>
      <c r="C331">
        <v>800</v>
      </c>
      <c r="D331">
        <v>448</v>
      </c>
    </row>
    <row r="332" spans="1:4" x14ac:dyDescent="0.3">
      <c r="A332" t="s">
        <v>1951</v>
      </c>
      <c r="B332" t="s">
        <v>1986</v>
      </c>
      <c r="C332">
        <v>500</v>
      </c>
      <c r="D332">
        <v>500</v>
      </c>
    </row>
    <row r="333" spans="1:4" x14ac:dyDescent="0.3">
      <c r="A333" t="s">
        <v>1951</v>
      </c>
      <c r="B333" t="s">
        <v>1992</v>
      </c>
      <c r="C333">
        <v>30</v>
      </c>
      <c r="D333">
        <v>30</v>
      </c>
    </row>
    <row r="334" spans="1:4" x14ac:dyDescent="0.3">
      <c r="A334" t="s">
        <v>1951</v>
      </c>
      <c r="B334" t="s">
        <v>1986</v>
      </c>
      <c r="C334">
        <v>500</v>
      </c>
      <c r="D334">
        <v>490</v>
      </c>
    </row>
    <row r="335" spans="1:4" x14ac:dyDescent="0.3">
      <c r="A335" t="s">
        <v>1951</v>
      </c>
      <c r="B335" t="s">
        <v>1991</v>
      </c>
      <c r="C335">
        <v>500</v>
      </c>
      <c r="D335">
        <v>440</v>
      </c>
    </row>
    <row r="336" spans="1:4" x14ac:dyDescent="0.3">
      <c r="A336" t="s">
        <v>1951</v>
      </c>
      <c r="B336" t="s">
        <v>1991</v>
      </c>
      <c r="C336">
        <v>500</v>
      </c>
      <c r="D336">
        <v>435</v>
      </c>
    </row>
    <row r="337" spans="1:4" x14ac:dyDescent="0.3">
      <c r="A337" t="s">
        <v>1951</v>
      </c>
      <c r="B337" t="s">
        <v>1990</v>
      </c>
      <c r="C337">
        <v>50</v>
      </c>
      <c r="D337">
        <v>49</v>
      </c>
    </row>
    <row r="338" spans="1:4" x14ac:dyDescent="0.3">
      <c r="A338" t="s">
        <v>1951</v>
      </c>
      <c r="B338" t="s">
        <v>1984</v>
      </c>
      <c r="C338">
        <v>80</v>
      </c>
      <c r="D338">
        <v>61</v>
      </c>
    </row>
    <row r="339" spans="1:4" x14ac:dyDescent="0.3">
      <c r="A339" t="s">
        <v>1951</v>
      </c>
      <c r="B339" t="s">
        <v>1948</v>
      </c>
      <c r="C339">
        <v>800</v>
      </c>
      <c r="D339">
        <v>504</v>
      </c>
    </row>
    <row r="340" spans="1:4" x14ac:dyDescent="0.3">
      <c r="A340" t="s">
        <v>1951</v>
      </c>
      <c r="B340" t="s">
        <v>1984</v>
      </c>
      <c r="C340">
        <v>80</v>
      </c>
      <c r="D340">
        <v>58</v>
      </c>
    </row>
    <row r="341" spans="1:4" x14ac:dyDescent="0.3">
      <c r="A341" t="s">
        <v>1951</v>
      </c>
      <c r="B341" t="s">
        <v>1985</v>
      </c>
      <c r="C341">
        <v>250</v>
      </c>
      <c r="D341">
        <v>208</v>
      </c>
    </row>
    <row r="342" spans="1:4" x14ac:dyDescent="0.3">
      <c r="A342" t="s">
        <v>1951</v>
      </c>
      <c r="B342" t="s">
        <v>1985</v>
      </c>
      <c r="C342">
        <v>250</v>
      </c>
      <c r="D342">
        <v>230</v>
      </c>
    </row>
    <row r="343" spans="1:4" x14ac:dyDescent="0.3">
      <c r="A343" t="s">
        <v>1951</v>
      </c>
      <c r="B343" t="s">
        <v>1948</v>
      </c>
      <c r="C343">
        <v>800</v>
      </c>
      <c r="D343">
        <v>456</v>
      </c>
    </row>
    <row r="344" spans="1:4" x14ac:dyDescent="0.3">
      <c r="A344" t="s">
        <v>1951</v>
      </c>
      <c r="B344" t="s">
        <v>1986</v>
      </c>
      <c r="C344">
        <v>500</v>
      </c>
      <c r="D344">
        <v>500</v>
      </c>
    </row>
    <row r="345" spans="1:4" x14ac:dyDescent="0.3">
      <c r="A345" t="s">
        <v>1951</v>
      </c>
      <c r="B345" t="s">
        <v>1985</v>
      </c>
      <c r="C345">
        <v>250</v>
      </c>
      <c r="D345">
        <v>230</v>
      </c>
    </row>
    <row r="346" spans="1:4" x14ac:dyDescent="0.3">
      <c r="A346" t="s">
        <v>1951</v>
      </c>
      <c r="B346" t="s">
        <v>1992</v>
      </c>
      <c r="C346">
        <v>30</v>
      </c>
      <c r="D346">
        <v>20</v>
      </c>
    </row>
    <row r="347" spans="1:4" x14ac:dyDescent="0.3">
      <c r="A347" t="s">
        <v>1951</v>
      </c>
      <c r="B347" t="s">
        <v>1988</v>
      </c>
      <c r="C347">
        <v>70</v>
      </c>
      <c r="D347">
        <v>54</v>
      </c>
    </row>
    <row r="348" spans="1:4" x14ac:dyDescent="0.3">
      <c r="A348" t="s">
        <v>1951</v>
      </c>
      <c r="B348" t="s">
        <v>1984</v>
      </c>
      <c r="C348">
        <v>80</v>
      </c>
      <c r="D348">
        <v>64</v>
      </c>
    </row>
    <row r="349" spans="1:4" x14ac:dyDescent="0.3">
      <c r="A349" t="s">
        <v>1951</v>
      </c>
      <c r="B349" t="s">
        <v>1949</v>
      </c>
      <c r="C349">
        <v>700</v>
      </c>
      <c r="D349">
        <v>581</v>
      </c>
    </row>
    <row r="350" spans="1:4" x14ac:dyDescent="0.3">
      <c r="A350" t="s">
        <v>1951</v>
      </c>
      <c r="B350" t="s">
        <v>1992</v>
      </c>
      <c r="C350">
        <v>30</v>
      </c>
      <c r="D350">
        <v>26</v>
      </c>
    </row>
    <row r="351" spans="1:4" x14ac:dyDescent="0.3">
      <c r="A351" t="s">
        <v>1951</v>
      </c>
      <c r="B351" t="s">
        <v>1985</v>
      </c>
      <c r="C351">
        <v>250</v>
      </c>
      <c r="D351">
        <v>230</v>
      </c>
    </row>
    <row r="352" spans="1:4" x14ac:dyDescent="0.3">
      <c r="A352" t="s">
        <v>1951</v>
      </c>
      <c r="B352" t="s">
        <v>1985</v>
      </c>
      <c r="C352">
        <v>250</v>
      </c>
      <c r="D352">
        <v>210</v>
      </c>
    </row>
    <row r="353" spans="1:4" x14ac:dyDescent="0.3">
      <c r="A353" t="s">
        <v>1951</v>
      </c>
      <c r="B353" t="s">
        <v>1989</v>
      </c>
      <c r="C353">
        <v>150</v>
      </c>
      <c r="D353">
        <v>125</v>
      </c>
    </row>
    <row r="354" spans="1:4" x14ac:dyDescent="0.3">
      <c r="A354" t="s">
        <v>1951</v>
      </c>
      <c r="B354" t="s">
        <v>1989</v>
      </c>
      <c r="C354">
        <v>150</v>
      </c>
      <c r="D354">
        <v>135</v>
      </c>
    </row>
    <row r="355" spans="1:4" x14ac:dyDescent="0.3">
      <c r="A355" t="s">
        <v>1951</v>
      </c>
      <c r="B355" t="s">
        <v>1990</v>
      </c>
      <c r="C355">
        <v>50</v>
      </c>
      <c r="D355">
        <v>36</v>
      </c>
    </row>
    <row r="356" spans="1:4" x14ac:dyDescent="0.3">
      <c r="A356" t="s">
        <v>1952</v>
      </c>
      <c r="B356" t="s">
        <v>1948</v>
      </c>
      <c r="C356">
        <v>800</v>
      </c>
      <c r="D356">
        <v>672</v>
      </c>
    </row>
    <row r="357" spans="1:4" x14ac:dyDescent="0.3">
      <c r="A357" t="s">
        <v>1952</v>
      </c>
      <c r="B357" t="s">
        <v>1984</v>
      </c>
      <c r="C357">
        <v>80</v>
      </c>
      <c r="D357">
        <v>69</v>
      </c>
    </row>
    <row r="358" spans="1:4" x14ac:dyDescent="0.3">
      <c r="A358" t="s">
        <v>1952</v>
      </c>
      <c r="B358" t="s">
        <v>1990</v>
      </c>
      <c r="C358">
        <v>50</v>
      </c>
      <c r="D358">
        <v>45</v>
      </c>
    </row>
    <row r="359" spans="1:4" x14ac:dyDescent="0.3">
      <c r="A359" t="s">
        <v>1952</v>
      </c>
      <c r="B359" t="s">
        <v>1985</v>
      </c>
      <c r="C359">
        <v>250</v>
      </c>
      <c r="D359">
        <v>213</v>
      </c>
    </row>
    <row r="360" spans="1:4" x14ac:dyDescent="0.3">
      <c r="A360" t="s">
        <v>1952</v>
      </c>
      <c r="B360" t="s">
        <v>1986</v>
      </c>
      <c r="C360">
        <v>500</v>
      </c>
      <c r="D360">
        <v>495</v>
      </c>
    </row>
    <row r="361" spans="1:4" x14ac:dyDescent="0.3">
      <c r="A361" t="s">
        <v>1952</v>
      </c>
      <c r="B361" t="s">
        <v>1948</v>
      </c>
      <c r="C361">
        <v>800</v>
      </c>
      <c r="D361">
        <v>520</v>
      </c>
    </row>
    <row r="362" spans="1:4" x14ac:dyDescent="0.3">
      <c r="A362" t="s">
        <v>1952</v>
      </c>
      <c r="B362" t="s">
        <v>1986</v>
      </c>
      <c r="C362">
        <v>500</v>
      </c>
      <c r="D362">
        <v>490</v>
      </c>
    </row>
    <row r="363" spans="1:4" x14ac:dyDescent="0.3">
      <c r="A363" t="s">
        <v>1952</v>
      </c>
      <c r="B363" t="s">
        <v>1990</v>
      </c>
      <c r="C363">
        <v>50</v>
      </c>
      <c r="D363">
        <v>47</v>
      </c>
    </row>
    <row r="364" spans="1:4" x14ac:dyDescent="0.3">
      <c r="A364" t="s">
        <v>1952</v>
      </c>
      <c r="B364" t="s">
        <v>1988</v>
      </c>
      <c r="C364">
        <v>70</v>
      </c>
      <c r="D364">
        <v>63</v>
      </c>
    </row>
    <row r="365" spans="1:4" x14ac:dyDescent="0.3">
      <c r="A365" t="s">
        <v>1952</v>
      </c>
      <c r="B365" t="s">
        <v>1948</v>
      </c>
      <c r="C365">
        <v>800</v>
      </c>
      <c r="D365">
        <v>456</v>
      </c>
    </row>
    <row r="366" spans="1:4" x14ac:dyDescent="0.3">
      <c r="A366" t="s">
        <v>1952</v>
      </c>
      <c r="B366" t="s">
        <v>1984</v>
      </c>
      <c r="C366">
        <v>80</v>
      </c>
      <c r="D366">
        <v>80</v>
      </c>
    </row>
    <row r="367" spans="1:4" x14ac:dyDescent="0.3">
      <c r="A367" t="s">
        <v>1952</v>
      </c>
      <c r="B367" t="s">
        <v>1988</v>
      </c>
      <c r="C367">
        <v>70</v>
      </c>
      <c r="D367">
        <v>70</v>
      </c>
    </row>
    <row r="368" spans="1:4" x14ac:dyDescent="0.3">
      <c r="A368" t="s">
        <v>1952</v>
      </c>
      <c r="B368" t="s">
        <v>1986</v>
      </c>
      <c r="C368">
        <v>500</v>
      </c>
      <c r="D368">
        <v>500</v>
      </c>
    </row>
    <row r="369" spans="1:4" x14ac:dyDescent="0.3">
      <c r="A369" t="s">
        <v>1952</v>
      </c>
      <c r="B369" t="s">
        <v>1950</v>
      </c>
      <c r="C369">
        <v>1000</v>
      </c>
      <c r="D369">
        <v>570</v>
      </c>
    </row>
    <row r="370" spans="1:4" x14ac:dyDescent="0.3">
      <c r="A370" t="s">
        <v>1952</v>
      </c>
      <c r="B370" t="s">
        <v>1948</v>
      </c>
      <c r="C370">
        <v>800</v>
      </c>
      <c r="D370">
        <v>592</v>
      </c>
    </row>
    <row r="371" spans="1:4" x14ac:dyDescent="0.3">
      <c r="A371" t="s">
        <v>1952</v>
      </c>
      <c r="B371" t="s">
        <v>1992</v>
      </c>
      <c r="C371">
        <v>30</v>
      </c>
      <c r="D371">
        <v>26</v>
      </c>
    </row>
    <row r="372" spans="1:4" x14ac:dyDescent="0.3">
      <c r="A372" t="s">
        <v>1952</v>
      </c>
      <c r="B372" t="s">
        <v>1950</v>
      </c>
      <c r="C372">
        <v>1000</v>
      </c>
      <c r="D372">
        <v>510</v>
      </c>
    </row>
    <row r="373" spans="1:4" x14ac:dyDescent="0.3">
      <c r="A373" t="s">
        <v>1952</v>
      </c>
      <c r="B373" t="s">
        <v>1992</v>
      </c>
      <c r="C373">
        <v>30</v>
      </c>
      <c r="D373">
        <v>27</v>
      </c>
    </row>
    <row r="374" spans="1:4" x14ac:dyDescent="0.3">
      <c r="A374" t="s">
        <v>1952</v>
      </c>
      <c r="B374" t="s">
        <v>1988</v>
      </c>
      <c r="C374">
        <v>70</v>
      </c>
      <c r="D374">
        <v>68</v>
      </c>
    </row>
    <row r="375" spans="1:4" x14ac:dyDescent="0.3">
      <c r="A375" t="s">
        <v>1952</v>
      </c>
      <c r="B375" t="s">
        <v>1986</v>
      </c>
      <c r="C375">
        <v>500</v>
      </c>
      <c r="D375">
        <v>500</v>
      </c>
    </row>
    <row r="376" spans="1:4" x14ac:dyDescent="0.3">
      <c r="A376" t="s">
        <v>1952</v>
      </c>
      <c r="B376" t="s">
        <v>1948</v>
      </c>
      <c r="C376">
        <v>800</v>
      </c>
      <c r="D376">
        <v>520</v>
      </c>
    </row>
    <row r="377" spans="1:4" x14ac:dyDescent="0.3">
      <c r="A377" t="s">
        <v>1952</v>
      </c>
      <c r="B377" t="s">
        <v>1986</v>
      </c>
      <c r="C377">
        <v>500</v>
      </c>
      <c r="D377">
        <v>495</v>
      </c>
    </row>
    <row r="378" spans="1:4" x14ac:dyDescent="0.3">
      <c r="A378" t="s">
        <v>1952</v>
      </c>
      <c r="B378" t="s">
        <v>1989</v>
      </c>
      <c r="C378">
        <v>150</v>
      </c>
      <c r="D378">
        <v>132</v>
      </c>
    </row>
    <row r="379" spans="1:4" x14ac:dyDescent="0.3">
      <c r="A379" t="s">
        <v>1952</v>
      </c>
      <c r="B379" t="s">
        <v>1986</v>
      </c>
      <c r="C379">
        <v>500</v>
      </c>
      <c r="D379">
        <v>500</v>
      </c>
    </row>
    <row r="380" spans="1:4" x14ac:dyDescent="0.3">
      <c r="A380" t="s">
        <v>1952</v>
      </c>
      <c r="B380" t="s">
        <v>1987</v>
      </c>
      <c r="C380">
        <v>50</v>
      </c>
      <c r="D380">
        <v>34</v>
      </c>
    </row>
    <row r="381" spans="1:4" x14ac:dyDescent="0.3">
      <c r="A381" t="s">
        <v>1952</v>
      </c>
      <c r="B381" t="s">
        <v>1949</v>
      </c>
      <c r="C381">
        <v>700</v>
      </c>
      <c r="D381">
        <v>637</v>
      </c>
    </row>
    <row r="382" spans="1:4" x14ac:dyDescent="0.3">
      <c r="A382" t="s">
        <v>1952</v>
      </c>
      <c r="B382" t="s">
        <v>1948</v>
      </c>
      <c r="C382">
        <v>800</v>
      </c>
      <c r="D382">
        <v>624</v>
      </c>
    </row>
    <row r="383" spans="1:4" x14ac:dyDescent="0.3">
      <c r="A383" t="s">
        <v>1952</v>
      </c>
      <c r="B383" t="s">
        <v>1984</v>
      </c>
      <c r="C383">
        <v>80</v>
      </c>
      <c r="D383">
        <v>55</v>
      </c>
    </row>
    <row r="384" spans="1:4" x14ac:dyDescent="0.3">
      <c r="A384" t="s">
        <v>1952</v>
      </c>
      <c r="B384" t="s">
        <v>1987</v>
      </c>
      <c r="C384">
        <v>50</v>
      </c>
      <c r="D384">
        <v>37</v>
      </c>
    </row>
    <row r="385" spans="1:4" x14ac:dyDescent="0.3">
      <c r="A385" t="s">
        <v>1952</v>
      </c>
      <c r="B385" t="s">
        <v>1990</v>
      </c>
      <c r="C385">
        <v>50</v>
      </c>
      <c r="D385">
        <v>33</v>
      </c>
    </row>
    <row r="386" spans="1:4" x14ac:dyDescent="0.3">
      <c r="A386" t="s">
        <v>1952</v>
      </c>
      <c r="B386" t="s">
        <v>1986</v>
      </c>
      <c r="C386">
        <v>500</v>
      </c>
      <c r="D386">
        <v>495</v>
      </c>
    </row>
    <row r="387" spans="1:4" x14ac:dyDescent="0.3">
      <c r="A387" t="s">
        <v>1952</v>
      </c>
      <c r="B387" t="s">
        <v>1992</v>
      </c>
      <c r="C387">
        <v>30</v>
      </c>
      <c r="D387">
        <v>22</v>
      </c>
    </row>
    <row r="388" spans="1:4" x14ac:dyDescent="0.3">
      <c r="A388" t="s">
        <v>1952</v>
      </c>
      <c r="B388" t="s">
        <v>1989</v>
      </c>
      <c r="C388">
        <v>150</v>
      </c>
      <c r="D388">
        <v>144</v>
      </c>
    </row>
    <row r="389" spans="1:4" x14ac:dyDescent="0.3">
      <c r="A389" t="s">
        <v>1952</v>
      </c>
      <c r="B389" t="s">
        <v>1949</v>
      </c>
      <c r="C389">
        <v>700</v>
      </c>
      <c r="D389">
        <v>546</v>
      </c>
    </row>
    <row r="390" spans="1:4" x14ac:dyDescent="0.3">
      <c r="A390" t="s">
        <v>1952</v>
      </c>
      <c r="B390" t="s">
        <v>1986</v>
      </c>
      <c r="C390">
        <v>500</v>
      </c>
      <c r="D390">
        <v>495</v>
      </c>
    </row>
    <row r="391" spans="1:4" x14ac:dyDescent="0.3">
      <c r="A391" t="s">
        <v>1952</v>
      </c>
      <c r="B391" t="s">
        <v>1987</v>
      </c>
      <c r="C391">
        <v>50</v>
      </c>
      <c r="D391">
        <v>39</v>
      </c>
    </row>
    <row r="392" spans="1:4" x14ac:dyDescent="0.3">
      <c r="A392" t="s">
        <v>1953</v>
      </c>
      <c r="B392" t="s">
        <v>1988</v>
      </c>
      <c r="C392">
        <v>70</v>
      </c>
      <c r="D392">
        <v>63</v>
      </c>
    </row>
    <row r="393" spans="1:4" x14ac:dyDescent="0.3">
      <c r="A393" t="s">
        <v>1953</v>
      </c>
      <c r="B393" t="s">
        <v>1987</v>
      </c>
      <c r="C393">
        <v>50</v>
      </c>
      <c r="D393">
        <v>48</v>
      </c>
    </row>
    <row r="394" spans="1:4" x14ac:dyDescent="0.3">
      <c r="A394" t="s">
        <v>1953</v>
      </c>
      <c r="B394" t="s">
        <v>1986</v>
      </c>
      <c r="C394">
        <v>500</v>
      </c>
      <c r="D394">
        <v>495</v>
      </c>
    </row>
    <row r="395" spans="1:4" x14ac:dyDescent="0.3">
      <c r="A395" t="s">
        <v>1953</v>
      </c>
      <c r="B395" t="s">
        <v>1989</v>
      </c>
      <c r="C395">
        <v>150</v>
      </c>
      <c r="D395">
        <v>135</v>
      </c>
    </row>
    <row r="396" spans="1:4" x14ac:dyDescent="0.3">
      <c r="A396" t="s">
        <v>1953</v>
      </c>
      <c r="B396" t="s">
        <v>1984</v>
      </c>
      <c r="C396">
        <v>80</v>
      </c>
      <c r="D396">
        <v>70</v>
      </c>
    </row>
    <row r="397" spans="1:4" x14ac:dyDescent="0.3">
      <c r="A397" t="s">
        <v>1953</v>
      </c>
      <c r="B397" t="s">
        <v>1991</v>
      </c>
      <c r="C397">
        <v>500</v>
      </c>
      <c r="D397">
        <v>445</v>
      </c>
    </row>
    <row r="398" spans="1:4" x14ac:dyDescent="0.3">
      <c r="A398" t="s">
        <v>1953</v>
      </c>
      <c r="B398" t="s">
        <v>1984</v>
      </c>
      <c r="C398">
        <v>80</v>
      </c>
      <c r="D398">
        <v>78</v>
      </c>
    </row>
    <row r="399" spans="1:4" x14ac:dyDescent="0.3">
      <c r="A399" t="s">
        <v>1953</v>
      </c>
      <c r="B399" t="s">
        <v>1987</v>
      </c>
      <c r="C399">
        <v>50</v>
      </c>
      <c r="D399">
        <v>47</v>
      </c>
    </row>
    <row r="400" spans="1:4" x14ac:dyDescent="0.3">
      <c r="A400" t="s">
        <v>1953</v>
      </c>
      <c r="B400" t="s">
        <v>1991</v>
      </c>
      <c r="C400">
        <v>500</v>
      </c>
      <c r="D400">
        <v>470</v>
      </c>
    </row>
    <row r="401" spans="1:4" x14ac:dyDescent="0.3">
      <c r="A401" t="s">
        <v>1953</v>
      </c>
      <c r="B401" t="s">
        <v>1990</v>
      </c>
      <c r="C401">
        <v>50</v>
      </c>
      <c r="D401">
        <v>47</v>
      </c>
    </row>
    <row r="402" spans="1:4" x14ac:dyDescent="0.3">
      <c r="A402" t="s">
        <v>1953</v>
      </c>
      <c r="B402" t="s">
        <v>1992</v>
      </c>
      <c r="C402">
        <v>30</v>
      </c>
      <c r="D402">
        <v>28</v>
      </c>
    </row>
    <row r="403" spans="1:4" x14ac:dyDescent="0.3">
      <c r="A403" t="s">
        <v>1953</v>
      </c>
      <c r="B403" t="s">
        <v>1989</v>
      </c>
      <c r="C403">
        <v>150</v>
      </c>
      <c r="D403">
        <v>138</v>
      </c>
    </row>
    <row r="404" spans="1:4" x14ac:dyDescent="0.3">
      <c r="A404" t="s">
        <v>1953</v>
      </c>
      <c r="B404" t="s">
        <v>1985</v>
      </c>
      <c r="C404">
        <v>250</v>
      </c>
      <c r="D404">
        <v>243</v>
      </c>
    </row>
    <row r="405" spans="1:4" x14ac:dyDescent="0.3">
      <c r="A405" t="s">
        <v>1953</v>
      </c>
      <c r="B405" t="s">
        <v>1984</v>
      </c>
      <c r="C405">
        <v>80</v>
      </c>
      <c r="D405">
        <v>73</v>
      </c>
    </row>
    <row r="406" spans="1:4" x14ac:dyDescent="0.3">
      <c r="A406" t="s">
        <v>1953</v>
      </c>
      <c r="B406" t="s">
        <v>1987</v>
      </c>
      <c r="C406">
        <v>50</v>
      </c>
      <c r="D406">
        <v>50</v>
      </c>
    </row>
    <row r="407" spans="1:4" x14ac:dyDescent="0.3">
      <c r="A407" t="s">
        <v>1953</v>
      </c>
      <c r="B407" t="s">
        <v>1984</v>
      </c>
      <c r="C407">
        <v>80</v>
      </c>
      <c r="D407">
        <v>78</v>
      </c>
    </row>
    <row r="408" spans="1:4" x14ac:dyDescent="0.3">
      <c r="A408" t="s">
        <v>1953</v>
      </c>
      <c r="B408" t="s">
        <v>1989</v>
      </c>
      <c r="C408">
        <v>150</v>
      </c>
      <c r="D408">
        <v>144</v>
      </c>
    </row>
    <row r="409" spans="1:4" x14ac:dyDescent="0.3">
      <c r="A409" t="s">
        <v>1953</v>
      </c>
      <c r="B409" t="s">
        <v>1992</v>
      </c>
      <c r="C409">
        <v>30</v>
      </c>
      <c r="D409">
        <v>29</v>
      </c>
    </row>
    <row r="410" spans="1:4" x14ac:dyDescent="0.3">
      <c r="A410" t="s">
        <v>1953</v>
      </c>
      <c r="B410" t="s">
        <v>1992</v>
      </c>
      <c r="C410">
        <v>30</v>
      </c>
      <c r="D410">
        <v>29</v>
      </c>
    </row>
    <row r="411" spans="1:4" x14ac:dyDescent="0.3">
      <c r="A411" t="s">
        <v>1953</v>
      </c>
      <c r="B411" t="s">
        <v>1985</v>
      </c>
      <c r="C411">
        <v>250</v>
      </c>
      <c r="D411">
        <v>233</v>
      </c>
    </row>
    <row r="412" spans="1:4" x14ac:dyDescent="0.3">
      <c r="A412" t="s">
        <v>1953</v>
      </c>
      <c r="B412" t="s">
        <v>1990</v>
      </c>
      <c r="C412">
        <v>50</v>
      </c>
      <c r="D412">
        <v>43</v>
      </c>
    </row>
    <row r="413" spans="1:4" x14ac:dyDescent="0.3">
      <c r="A413" t="s">
        <v>1953</v>
      </c>
      <c r="B413" t="s">
        <v>1987</v>
      </c>
      <c r="C413">
        <v>50</v>
      </c>
      <c r="D413">
        <v>43</v>
      </c>
    </row>
    <row r="414" spans="1:4" x14ac:dyDescent="0.3">
      <c r="A414" t="s">
        <v>1953</v>
      </c>
      <c r="B414" t="s">
        <v>1949</v>
      </c>
      <c r="C414">
        <v>700</v>
      </c>
      <c r="D414">
        <v>616</v>
      </c>
    </row>
    <row r="415" spans="1:4" x14ac:dyDescent="0.3">
      <c r="A415" t="s">
        <v>1953</v>
      </c>
      <c r="B415" t="s">
        <v>1992</v>
      </c>
      <c r="C415">
        <v>30</v>
      </c>
      <c r="D415">
        <v>25</v>
      </c>
    </row>
    <row r="416" spans="1:4" x14ac:dyDescent="0.3">
      <c r="A416" t="s">
        <v>1953</v>
      </c>
      <c r="B416" t="s">
        <v>1949</v>
      </c>
      <c r="C416">
        <v>700</v>
      </c>
      <c r="D416">
        <v>518</v>
      </c>
    </row>
    <row r="417" spans="1:4" x14ac:dyDescent="0.3">
      <c r="A417" t="s">
        <v>1953</v>
      </c>
      <c r="B417" t="s">
        <v>1992</v>
      </c>
      <c r="C417">
        <v>30</v>
      </c>
      <c r="D417">
        <v>23</v>
      </c>
    </row>
    <row r="418" spans="1:4" x14ac:dyDescent="0.3">
      <c r="A418" t="s">
        <v>1953</v>
      </c>
      <c r="B418" t="s">
        <v>1986</v>
      </c>
      <c r="C418">
        <v>500</v>
      </c>
      <c r="D418">
        <v>490</v>
      </c>
    </row>
    <row r="419" spans="1:4" x14ac:dyDescent="0.3">
      <c r="A419" t="s">
        <v>1953</v>
      </c>
      <c r="B419" t="s">
        <v>1986</v>
      </c>
      <c r="C419">
        <v>500</v>
      </c>
      <c r="D419">
        <v>495</v>
      </c>
    </row>
    <row r="420" spans="1:4" x14ac:dyDescent="0.3">
      <c r="A420" t="s">
        <v>1953</v>
      </c>
      <c r="B420" t="s">
        <v>1985</v>
      </c>
      <c r="C420">
        <v>250</v>
      </c>
      <c r="D420">
        <v>225</v>
      </c>
    </row>
    <row r="421" spans="1:4" x14ac:dyDescent="0.3">
      <c r="A421" t="s">
        <v>1953</v>
      </c>
      <c r="B421" t="s">
        <v>1985</v>
      </c>
      <c r="C421">
        <v>250</v>
      </c>
      <c r="D421">
        <v>203</v>
      </c>
    </row>
    <row r="422" spans="1:4" x14ac:dyDescent="0.3">
      <c r="A422" t="s">
        <v>1953</v>
      </c>
      <c r="B422" t="s">
        <v>1992</v>
      </c>
      <c r="C422">
        <v>30</v>
      </c>
      <c r="D422">
        <v>25</v>
      </c>
    </row>
    <row r="423" spans="1:4" x14ac:dyDescent="0.3">
      <c r="A423" t="s">
        <v>1953</v>
      </c>
      <c r="B423" t="s">
        <v>1989</v>
      </c>
      <c r="C423">
        <v>150</v>
      </c>
      <c r="D423">
        <v>140</v>
      </c>
    </row>
    <row r="424" spans="1:4" x14ac:dyDescent="0.3">
      <c r="A424" t="s">
        <v>1953</v>
      </c>
      <c r="B424" t="s">
        <v>1985</v>
      </c>
      <c r="C424">
        <v>250</v>
      </c>
      <c r="D424">
        <v>178</v>
      </c>
    </row>
    <row r="425" spans="1:4" x14ac:dyDescent="0.3">
      <c r="A425" t="s">
        <v>1953</v>
      </c>
      <c r="B425" t="s">
        <v>1992</v>
      </c>
      <c r="C425">
        <v>30</v>
      </c>
      <c r="D425">
        <v>24</v>
      </c>
    </row>
    <row r="426" spans="1:4" x14ac:dyDescent="0.3">
      <c r="A426" t="s">
        <v>1953</v>
      </c>
      <c r="B426" t="s">
        <v>1985</v>
      </c>
      <c r="C426">
        <v>250</v>
      </c>
      <c r="D426">
        <v>243</v>
      </c>
    </row>
    <row r="427" spans="1:4" x14ac:dyDescent="0.3">
      <c r="A427" t="s">
        <v>1953</v>
      </c>
      <c r="B427" t="s">
        <v>1949</v>
      </c>
      <c r="C427">
        <v>700</v>
      </c>
      <c r="D427">
        <v>574</v>
      </c>
    </row>
    <row r="428" spans="1:4" x14ac:dyDescent="0.3">
      <c r="A428" t="s">
        <v>1954</v>
      </c>
      <c r="B428" t="s">
        <v>1989</v>
      </c>
      <c r="C428">
        <v>150</v>
      </c>
      <c r="D428">
        <v>144</v>
      </c>
    </row>
    <row r="429" spans="1:4" x14ac:dyDescent="0.3">
      <c r="A429" t="s">
        <v>1954</v>
      </c>
      <c r="B429" t="s">
        <v>1985</v>
      </c>
      <c r="C429">
        <v>250</v>
      </c>
      <c r="D429">
        <v>250</v>
      </c>
    </row>
    <row r="430" spans="1:4" x14ac:dyDescent="0.3">
      <c r="A430" t="s">
        <v>1954</v>
      </c>
      <c r="B430" t="s">
        <v>1988</v>
      </c>
      <c r="C430">
        <v>70</v>
      </c>
      <c r="D430">
        <v>60</v>
      </c>
    </row>
    <row r="431" spans="1:4" x14ac:dyDescent="0.3">
      <c r="A431" t="s">
        <v>1954</v>
      </c>
      <c r="B431" t="s">
        <v>1986</v>
      </c>
      <c r="C431">
        <v>500</v>
      </c>
      <c r="D431">
        <v>490</v>
      </c>
    </row>
    <row r="432" spans="1:4" x14ac:dyDescent="0.3">
      <c r="A432" t="s">
        <v>1954</v>
      </c>
      <c r="B432" t="s">
        <v>1989</v>
      </c>
      <c r="C432">
        <v>150</v>
      </c>
      <c r="D432">
        <v>140</v>
      </c>
    </row>
    <row r="433" spans="1:4" x14ac:dyDescent="0.3">
      <c r="A433" t="s">
        <v>1954</v>
      </c>
      <c r="B433" t="s">
        <v>1986</v>
      </c>
      <c r="C433">
        <v>500</v>
      </c>
      <c r="D433">
        <v>490</v>
      </c>
    </row>
    <row r="434" spans="1:4" x14ac:dyDescent="0.3">
      <c r="A434" t="s">
        <v>1954</v>
      </c>
      <c r="B434" t="s">
        <v>1984</v>
      </c>
      <c r="C434">
        <v>80</v>
      </c>
      <c r="D434">
        <v>74</v>
      </c>
    </row>
    <row r="435" spans="1:4" x14ac:dyDescent="0.3">
      <c r="A435" t="s">
        <v>1954</v>
      </c>
      <c r="B435" t="s">
        <v>1986</v>
      </c>
      <c r="C435">
        <v>500</v>
      </c>
      <c r="D435">
        <v>490</v>
      </c>
    </row>
    <row r="436" spans="1:4" x14ac:dyDescent="0.3">
      <c r="A436" t="s">
        <v>1954</v>
      </c>
      <c r="B436" t="s">
        <v>1985</v>
      </c>
      <c r="C436">
        <v>250</v>
      </c>
      <c r="D436">
        <v>228</v>
      </c>
    </row>
    <row r="437" spans="1:4" x14ac:dyDescent="0.3">
      <c r="A437" t="s">
        <v>1954</v>
      </c>
      <c r="B437" t="s">
        <v>1985</v>
      </c>
      <c r="C437">
        <v>250</v>
      </c>
      <c r="D437">
        <v>228</v>
      </c>
    </row>
    <row r="438" spans="1:4" x14ac:dyDescent="0.3">
      <c r="A438" t="s">
        <v>1954</v>
      </c>
      <c r="B438" t="s">
        <v>1988</v>
      </c>
      <c r="C438">
        <v>70</v>
      </c>
      <c r="D438">
        <v>69</v>
      </c>
    </row>
    <row r="439" spans="1:4" x14ac:dyDescent="0.3">
      <c r="A439" t="s">
        <v>1954</v>
      </c>
      <c r="B439" t="s">
        <v>1949</v>
      </c>
      <c r="C439">
        <v>700</v>
      </c>
      <c r="D439">
        <v>609</v>
      </c>
    </row>
    <row r="440" spans="1:4" x14ac:dyDescent="0.3">
      <c r="A440" t="s">
        <v>1954</v>
      </c>
      <c r="B440" t="s">
        <v>1987</v>
      </c>
      <c r="C440">
        <v>50</v>
      </c>
      <c r="D440">
        <v>49</v>
      </c>
    </row>
    <row r="441" spans="1:4" x14ac:dyDescent="0.3">
      <c r="A441" t="s">
        <v>1954</v>
      </c>
      <c r="B441" t="s">
        <v>1989</v>
      </c>
      <c r="C441">
        <v>150</v>
      </c>
      <c r="D441">
        <v>146</v>
      </c>
    </row>
    <row r="442" spans="1:4" x14ac:dyDescent="0.3">
      <c r="A442" t="s">
        <v>1954</v>
      </c>
      <c r="B442" t="s">
        <v>1950</v>
      </c>
      <c r="C442">
        <v>1000</v>
      </c>
      <c r="D442">
        <v>500</v>
      </c>
    </row>
    <row r="443" spans="1:4" x14ac:dyDescent="0.3">
      <c r="A443" t="s">
        <v>1954</v>
      </c>
      <c r="B443" t="s">
        <v>1985</v>
      </c>
      <c r="C443">
        <v>250</v>
      </c>
      <c r="D443">
        <v>213</v>
      </c>
    </row>
    <row r="444" spans="1:4" x14ac:dyDescent="0.3">
      <c r="A444" t="s">
        <v>1954</v>
      </c>
      <c r="B444" t="s">
        <v>1991</v>
      </c>
      <c r="C444">
        <v>500</v>
      </c>
      <c r="D444">
        <v>495</v>
      </c>
    </row>
    <row r="445" spans="1:4" x14ac:dyDescent="0.3">
      <c r="A445" t="s">
        <v>1954</v>
      </c>
      <c r="B445" t="s">
        <v>1987</v>
      </c>
      <c r="C445">
        <v>50</v>
      </c>
      <c r="D445">
        <v>44</v>
      </c>
    </row>
    <row r="446" spans="1:4" x14ac:dyDescent="0.3">
      <c r="A446" t="s">
        <v>1954</v>
      </c>
      <c r="B446" t="s">
        <v>1989</v>
      </c>
      <c r="C446">
        <v>150</v>
      </c>
      <c r="D446">
        <v>134</v>
      </c>
    </row>
    <row r="447" spans="1:4" x14ac:dyDescent="0.3">
      <c r="A447" t="s">
        <v>1954</v>
      </c>
      <c r="B447" t="s">
        <v>1984</v>
      </c>
      <c r="C447">
        <v>80</v>
      </c>
      <c r="D447">
        <v>52</v>
      </c>
    </row>
    <row r="448" spans="1:4" x14ac:dyDescent="0.3">
      <c r="A448" t="s">
        <v>1954</v>
      </c>
      <c r="B448" t="s">
        <v>1988</v>
      </c>
      <c r="C448">
        <v>70</v>
      </c>
      <c r="D448">
        <v>67</v>
      </c>
    </row>
    <row r="449" spans="1:4" x14ac:dyDescent="0.3">
      <c r="A449" t="s">
        <v>1954</v>
      </c>
      <c r="B449" t="s">
        <v>1991</v>
      </c>
      <c r="C449">
        <v>500</v>
      </c>
      <c r="D449">
        <v>350</v>
      </c>
    </row>
    <row r="450" spans="1:4" x14ac:dyDescent="0.3">
      <c r="A450" t="s">
        <v>1954</v>
      </c>
      <c r="B450" t="s">
        <v>1990</v>
      </c>
      <c r="C450">
        <v>50</v>
      </c>
      <c r="D450">
        <v>38</v>
      </c>
    </row>
    <row r="451" spans="1:4" x14ac:dyDescent="0.3">
      <c r="A451" t="s">
        <v>1954</v>
      </c>
      <c r="B451" t="s">
        <v>1991</v>
      </c>
      <c r="C451">
        <v>500</v>
      </c>
      <c r="D451">
        <v>460</v>
      </c>
    </row>
    <row r="452" spans="1:4" x14ac:dyDescent="0.3">
      <c r="A452" t="s">
        <v>1954</v>
      </c>
      <c r="B452" t="s">
        <v>1987</v>
      </c>
      <c r="C452">
        <v>50</v>
      </c>
      <c r="D452">
        <v>41</v>
      </c>
    </row>
    <row r="453" spans="1:4" x14ac:dyDescent="0.3">
      <c r="A453" t="s">
        <v>1954</v>
      </c>
      <c r="B453" t="s">
        <v>1949</v>
      </c>
      <c r="C453">
        <v>700</v>
      </c>
      <c r="D453">
        <v>665</v>
      </c>
    </row>
    <row r="454" spans="1:4" x14ac:dyDescent="0.3">
      <c r="A454" t="s">
        <v>1954</v>
      </c>
      <c r="B454" t="s">
        <v>1991</v>
      </c>
      <c r="C454">
        <v>500</v>
      </c>
      <c r="D454">
        <v>355</v>
      </c>
    </row>
    <row r="455" spans="1:4" x14ac:dyDescent="0.3">
      <c r="A455" t="s">
        <v>1954</v>
      </c>
      <c r="B455" t="s">
        <v>1988</v>
      </c>
      <c r="C455">
        <v>70</v>
      </c>
      <c r="D455">
        <v>42</v>
      </c>
    </row>
    <row r="456" spans="1:4" x14ac:dyDescent="0.3">
      <c r="A456" t="s">
        <v>1954</v>
      </c>
      <c r="B456" t="s">
        <v>1986</v>
      </c>
      <c r="C456">
        <v>500</v>
      </c>
      <c r="D456">
        <v>495</v>
      </c>
    </row>
    <row r="457" spans="1:4" x14ac:dyDescent="0.3">
      <c r="A457" t="s">
        <v>1954</v>
      </c>
      <c r="B457" t="s">
        <v>1950</v>
      </c>
      <c r="C457">
        <v>1000</v>
      </c>
      <c r="D457">
        <v>580</v>
      </c>
    </row>
    <row r="458" spans="1:4" x14ac:dyDescent="0.3">
      <c r="A458" t="s">
        <v>1954</v>
      </c>
      <c r="B458" t="s">
        <v>1984</v>
      </c>
      <c r="C458">
        <v>80</v>
      </c>
      <c r="D458">
        <v>70</v>
      </c>
    </row>
    <row r="459" spans="1:4" x14ac:dyDescent="0.3">
      <c r="A459" t="s">
        <v>1954</v>
      </c>
      <c r="B459" t="s">
        <v>1985</v>
      </c>
      <c r="C459">
        <v>250</v>
      </c>
      <c r="D459">
        <v>195</v>
      </c>
    </row>
    <row r="460" spans="1:4" x14ac:dyDescent="0.3">
      <c r="A460" t="s">
        <v>1954</v>
      </c>
      <c r="B460" t="s">
        <v>1991</v>
      </c>
      <c r="C460">
        <v>500</v>
      </c>
      <c r="D460">
        <v>355</v>
      </c>
    </row>
    <row r="461" spans="1:4" x14ac:dyDescent="0.3">
      <c r="A461" t="s">
        <v>1954</v>
      </c>
      <c r="B461" t="s">
        <v>1985</v>
      </c>
      <c r="C461">
        <v>250</v>
      </c>
      <c r="D461">
        <v>193</v>
      </c>
    </row>
    <row r="462" spans="1:4" x14ac:dyDescent="0.3">
      <c r="A462" t="s">
        <v>1954</v>
      </c>
      <c r="B462" t="s">
        <v>1990</v>
      </c>
      <c r="C462">
        <v>50</v>
      </c>
      <c r="D462">
        <v>37</v>
      </c>
    </row>
    <row r="463" spans="1:4" x14ac:dyDescent="0.3">
      <c r="A463" t="s">
        <v>1954</v>
      </c>
      <c r="B463" t="s">
        <v>1991</v>
      </c>
      <c r="C463">
        <v>500</v>
      </c>
      <c r="D463">
        <v>425</v>
      </c>
    </row>
    <row r="464" spans="1:4" x14ac:dyDescent="0.3">
      <c r="A464" t="s">
        <v>1954</v>
      </c>
      <c r="B464" t="s">
        <v>1950</v>
      </c>
      <c r="C464">
        <v>1000</v>
      </c>
      <c r="D464">
        <v>600</v>
      </c>
    </row>
    <row r="465" spans="1:4" x14ac:dyDescent="0.3">
      <c r="A465" t="s">
        <v>1954</v>
      </c>
      <c r="B465" t="s">
        <v>1991</v>
      </c>
      <c r="C465">
        <v>500</v>
      </c>
      <c r="D465">
        <v>485</v>
      </c>
    </row>
    <row r="466" spans="1:4" x14ac:dyDescent="0.3">
      <c r="A466" t="s">
        <v>1954</v>
      </c>
      <c r="B466" t="s">
        <v>1987</v>
      </c>
      <c r="C466">
        <v>50</v>
      </c>
      <c r="D466">
        <v>41</v>
      </c>
    </row>
    <row r="467" spans="1:4" x14ac:dyDescent="0.3">
      <c r="A467" t="s">
        <v>1954</v>
      </c>
      <c r="B467" t="s">
        <v>1950</v>
      </c>
      <c r="C467">
        <v>1000</v>
      </c>
      <c r="D467">
        <v>590</v>
      </c>
    </row>
    <row r="468" spans="1:4" x14ac:dyDescent="0.3">
      <c r="A468" t="s">
        <v>1955</v>
      </c>
      <c r="B468" t="s">
        <v>1984</v>
      </c>
      <c r="C468">
        <v>80</v>
      </c>
      <c r="D468">
        <v>78</v>
      </c>
    </row>
    <row r="469" spans="1:4" x14ac:dyDescent="0.3">
      <c r="A469" t="s">
        <v>1955</v>
      </c>
      <c r="B469" t="s">
        <v>1986</v>
      </c>
      <c r="C469">
        <v>500</v>
      </c>
      <c r="D469">
        <v>495</v>
      </c>
    </row>
    <row r="470" spans="1:4" x14ac:dyDescent="0.3">
      <c r="A470" t="s">
        <v>1955</v>
      </c>
      <c r="B470" t="s">
        <v>1987</v>
      </c>
      <c r="C470">
        <v>50</v>
      </c>
      <c r="D470">
        <v>44</v>
      </c>
    </row>
    <row r="471" spans="1:4" x14ac:dyDescent="0.3">
      <c r="A471" t="s">
        <v>1955</v>
      </c>
      <c r="B471" t="s">
        <v>1992</v>
      </c>
      <c r="C471">
        <v>30</v>
      </c>
      <c r="D471">
        <v>29</v>
      </c>
    </row>
    <row r="472" spans="1:4" x14ac:dyDescent="0.3">
      <c r="A472" t="s">
        <v>1955</v>
      </c>
      <c r="B472" t="s">
        <v>1984</v>
      </c>
      <c r="C472">
        <v>80</v>
      </c>
      <c r="D472">
        <v>79</v>
      </c>
    </row>
    <row r="473" spans="1:4" x14ac:dyDescent="0.3">
      <c r="A473" t="s">
        <v>1955</v>
      </c>
      <c r="B473" t="s">
        <v>1988</v>
      </c>
      <c r="C473">
        <v>70</v>
      </c>
      <c r="D473">
        <v>65</v>
      </c>
    </row>
    <row r="474" spans="1:4" x14ac:dyDescent="0.3">
      <c r="A474" t="s">
        <v>1955</v>
      </c>
      <c r="B474" t="s">
        <v>1991</v>
      </c>
      <c r="C474">
        <v>500</v>
      </c>
      <c r="D474">
        <v>435</v>
      </c>
    </row>
    <row r="475" spans="1:4" x14ac:dyDescent="0.3">
      <c r="A475" t="s">
        <v>1955</v>
      </c>
      <c r="B475" t="s">
        <v>1988</v>
      </c>
      <c r="C475">
        <v>70</v>
      </c>
      <c r="D475">
        <v>68</v>
      </c>
    </row>
    <row r="476" spans="1:4" x14ac:dyDescent="0.3">
      <c r="A476" t="s">
        <v>1955</v>
      </c>
      <c r="B476" t="s">
        <v>1990</v>
      </c>
      <c r="C476">
        <v>50</v>
      </c>
      <c r="D476">
        <v>31</v>
      </c>
    </row>
    <row r="477" spans="1:4" x14ac:dyDescent="0.3">
      <c r="A477" t="s">
        <v>1955</v>
      </c>
      <c r="B477" t="s">
        <v>1985</v>
      </c>
      <c r="C477">
        <v>250</v>
      </c>
      <c r="D477">
        <v>230</v>
      </c>
    </row>
    <row r="478" spans="1:4" x14ac:dyDescent="0.3">
      <c r="A478" t="s">
        <v>1955</v>
      </c>
      <c r="B478" t="s">
        <v>1988</v>
      </c>
      <c r="C478">
        <v>70</v>
      </c>
      <c r="D478">
        <v>68</v>
      </c>
    </row>
    <row r="479" spans="1:4" x14ac:dyDescent="0.3">
      <c r="A479" t="s">
        <v>1955</v>
      </c>
      <c r="B479" t="s">
        <v>1989</v>
      </c>
      <c r="C479">
        <v>150</v>
      </c>
      <c r="D479">
        <v>140</v>
      </c>
    </row>
    <row r="480" spans="1:4" x14ac:dyDescent="0.3">
      <c r="A480" t="s">
        <v>1955</v>
      </c>
      <c r="B480" t="s">
        <v>1988</v>
      </c>
      <c r="C480">
        <v>70</v>
      </c>
      <c r="D480">
        <v>63</v>
      </c>
    </row>
    <row r="481" spans="1:4" x14ac:dyDescent="0.3">
      <c r="A481" t="s">
        <v>1955</v>
      </c>
      <c r="B481" t="s">
        <v>1984</v>
      </c>
      <c r="C481">
        <v>80</v>
      </c>
      <c r="D481">
        <v>78</v>
      </c>
    </row>
    <row r="482" spans="1:4" x14ac:dyDescent="0.3">
      <c r="A482" t="s">
        <v>1955</v>
      </c>
      <c r="B482" t="s">
        <v>1989</v>
      </c>
      <c r="C482">
        <v>150</v>
      </c>
      <c r="D482">
        <v>126</v>
      </c>
    </row>
    <row r="483" spans="1:4" x14ac:dyDescent="0.3">
      <c r="A483" t="s">
        <v>1955</v>
      </c>
      <c r="B483" t="s">
        <v>1987</v>
      </c>
      <c r="C483">
        <v>50</v>
      </c>
      <c r="D483">
        <v>47</v>
      </c>
    </row>
    <row r="484" spans="1:4" x14ac:dyDescent="0.3">
      <c r="A484" t="s">
        <v>1955</v>
      </c>
      <c r="B484" t="s">
        <v>1986</v>
      </c>
      <c r="C484">
        <v>500</v>
      </c>
      <c r="D484">
        <v>500</v>
      </c>
    </row>
    <row r="485" spans="1:4" x14ac:dyDescent="0.3">
      <c r="A485" t="s">
        <v>1955</v>
      </c>
      <c r="B485" t="s">
        <v>1991</v>
      </c>
      <c r="C485">
        <v>500</v>
      </c>
      <c r="D485">
        <v>450</v>
      </c>
    </row>
    <row r="486" spans="1:4" x14ac:dyDescent="0.3">
      <c r="A486" t="s">
        <v>1955</v>
      </c>
      <c r="B486" t="s">
        <v>1986</v>
      </c>
      <c r="C486">
        <v>500</v>
      </c>
      <c r="D486">
        <v>495</v>
      </c>
    </row>
    <row r="487" spans="1:4" x14ac:dyDescent="0.3">
      <c r="A487" t="s">
        <v>1955</v>
      </c>
      <c r="B487" t="s">
        <v>1990</v>
      </c>
      <c r="C487">
        <v>50</v>
      </c>
      <c r="D487">
        <v>22</v>
      </c>
    </row>
    <row r="488" spans="1:4" x14ac:dyDescent="0.3">
      <c r="A488" t="s">
        <v>1955</v>
      </c>
      <c r="B488" t="s">
        <v>1949</v>
      </c>
      <c r="C488">
        <v>700</v>
      </c>
      <c r="D488">
        <v>630</v>
      </c>
    </row>
    <row r="489" spans="1:4" x14ac:dyDescent="0.3">
      <c r="A489" t="s">
        <v>1955</v>
      </c>
      <c r="B489" t="s">
        <v>1948</v>
      </c>
      <c r="C489">
        <v>800</v>
      </c>
      <c r="D489">
        <v>568</v>
      </c>
    </row>
    <row r="490" spans="1:4" x14ac:dyDescent="0.3">
      <c r="A490" t="s">
        <v>1955</v>
      </c>
      <c r="B490" t="s">
        <v>1986</v>
      </c>
      <c r="C490">
        <v>500</v>
      </c>
      <c r="D490">
        <v>495</v>
      </c>
    </row>
    <row r="491" spans="1:4" x14ac:dyDescent="0.3">
      <c r="A491" t="s">
        <v>1955</v>
      </c>
      <c r="B491" t="s">
        <v>1984</v>
      </c>
      <c r="C491">
        <v>80</v>
      </c>
      <c r="D491">
        <v>77</v>
      </c>
    </row>
    <row r="492" spans="1:4" x14ac:dyDescent="0.3">
      <c r="A492" t="s">
        <v>1955</v>
      </c>
      <c r="B492" t="s">
        <v>1985</v>
      </c>
      <c r="C492">
        <v>250</v>
      </c>
      <c r="D492">
        <v>243</v>
      </c>
    </row>
    <row r="493" spans="1:4" x14ac:dyDescent="0.3">
      <c r="A493" t="s">
        <v>1955</v>
      </c>
      <c r="B493" t="s">
        <v>1989</v>
      </c>
      <c r="C493">
        <v>150</v>
      </c>
      <c r="D493">
        <v>105</v>
      </c>
    </row>
    <row r="494" spans="1:4" x14ac:dyDescent="0.3">
      <c r="A494" t="s">
        <v>1955</v>
      </c>
      <c r="B494" t="s">
        <v>1988</v>
      </c>
      <c r="C494">
        <v>70</v>
      </c>
      <c r="D494">
        <v>57</v>
      </c>
    </row>
    <row r="495" spans="1:4" x14ac:dyDescent="0.3">
      <c r="A495" t="s">
        <v>1955</v>
      </c>
      <c r="B495" t="s">
        <v>1990</v>
      </c>
      <c r="C495">
        <v>50</v>
      </c>
      <c r="D495">
        <v>46</v>
      </c>
    </row>
    <row r="496" spans="1:4" x14ac:dyDescent="0.3">
      <c r="A496" t="s">
        <v>1955</v>
      </c>
      <c r="B496" t="s">
        <v>1992</v>
      </c>
      <c r="C496">
        <v>30</v>
      </c>
      <c r="D496">
        <v>20</v>
      </c>
    </row>
    <row r="497" spans="1:4" x14ac:dyDescent="0.3">
      <c r="A497" t="s">
        <v>1955</v>
      </c>
      <c r="B497" t="s">
        <v>1986</v>
      </c>
      <c r="C497">
        <v>500</v>
      </c>
      <c r="D497">
        <v>495</v>
      </c>
    </row>
    <row r="498" spans="1:4" x14ac:dyDescent="0.3">
      <c r="A498" t="s">
        <v>1955</v>
      </c>
      <c r="B498" t="s">
        <v>1985</v>
      </c>
      <c r="C498">
        <v>250</v>
      </c>
      <c r="D498">
        <v>158</v>
      </c>
    </row>
    <row r="499" spans="1:4" x14ac:dyDescent="0.3">
      <c r="A499" t="s">
        <v>1955</v>
      </c>
      <c r="B499" t="s">
        <v>1990</v>
      </c>
      <c r="C499">
        <v>50</v>
      </c>
      <c r="D499">
        <v>42</v>
      </c>
    </row>
    <row r="500" spans="1:4" x14ac:dyDescent="0.3">
      <c r="A500" t="s">
        <v>1955</v>
      </c>
      <c r="B500" t="s">
        <v>1990</v>
      </c>
      <c r="C500">
        <v>50</v>
      </c>
      <c r="D500">
        <v>33</v>
      </c>
    </row>
    <row r="501" spans="1:4" x14ac:dyDescent="0.3">
      <c r="A501" t="s">
        <v>1955</v>
      </c>
      <c r="B501" t="s">
        <v>1989</v>
      </c>
      <c r="C501">
        <v>150</v>
      </c>
      <c r="D501">
        <v>147</v>
      </c>
    </row>
    <row r="502" spans="1:4" x14ac:dyDescent="0.3">
      <c r="A502" t="s">
        <v>1955</v>
      </c>
      <c r="B502" t="s">
        <v>1989</v>
      </c>
      <c r="C502">
        <v>150</v>
      </c>
      <c r="D502">
        <v>114</v>
      </c>
    </row>
    <row r="503" spans="1:4" x14ac:dyDescent="0.3">
      <c r="A503" t="s">
        <v>1955</v>
      </c>
      <c r="B503" t="s">
        <v>1987</v>
      </c>
      <c r="C503">
        <v>50</v>
      </c>
      <c r="D503">
        <v>48</v>
      </c>
    </row>
    <row r="504" spans="1:4" x14ac:dyDescent="0.3">
      <c r="A504" t="s">
        <v>1955</v>
      </c>
      <c r="B504" t="s">
        <v>1949</v>
      </c>
      <c r="C504">
        <v>700</v>
      </c>
      <c r="D504">
        <v>672</v>
      </c>
    </row>
    <row r="505" spans="1:4" x14ac:dyDescent="0.3">
      <c r="A505" t="s">
        <v>1955</v>
      </c>
      <c r="B505" t="s">
        <v>1990</v>
      </c>
      <c r="C505">
        <v>50</v>
      </c>
      <c r="D505">
        <v>36</v>
      </c>
    </row>
    <row r="506" spans="1:4" x14ac:dyDescent="0.3">
      <c r="A506" t="s">
        <v>1955</v>
      </c>
      <c r="B506" t="s">
        <v>1991</v>
      </c>
      <c r="C506">
        <v>500</v>
      </c>
      <c r="D506">
        <v>370</v>
      </c>
    </row>
    <row r="507" spans="1:4" x14ac:dyDescent="0.3">
      <c r="A507" t="s">
        <v>1955</v>
      </c>
      <c r="B507" t="s">
        <v>1991</v>
      </c>
      <c r="C507">
        <v>500</v>
      </c>
      <c r="D507">
        <v>425</v>
      </c>
    </row>
    <row r="508" spans="1:4" x14ac:dyDescent="0.3">
      <c r="A508" t="s">
        <v>1955</v>
      </c>
      <c r="B508" t="s">
        <v>1948</v>
      </c>
      <c r="C508">
        <v>800</v>
      </c>
      <c r="D508">
        <v>672</v>
      </c>
    </row>
    <row r="509" spans="1:4" x14ac:dyDescent="0.3">
      <c r="A509" t="s">
        <v>1955</v>
      </c>
      <c r="B509" t="s">
        <v>1991</v>
      </c>
      <c r="C509">
        <v>500</v>
      </c>
      <c r="D509">
        <v>500</v>
      </c>
    </row>
    <row r="510" spans="1:4" x14ac:dyDescent="0.3">
      <c r="A510" t="s">
        <v>1955</v>
      </c>
      <c r="B510" t="s">
        <v>1988</v>
      </c>
      <c r="C510">
        <v>70</v>
      </c>
      <c r="D510">
        <v>67</v>
      </c>
    </row>
    <row r="511" spans="1:4" x14ac:dyDescent="0.3">
      <c r="A511" t="s">
        <v>1955</v>
      </c>
      <c r="B511" t="s">
        <v>1992</v>
      </c>
      <c r="C511">
        <v>30</v>
      </c>
      <c r="D511">
        <v>30</v>
      </c>
    </row>
    <row r="512" spans="1:4" x14ac:dyDescent="0.3">
      <c r="A512" t="s">
        <v>1956</v>
      </c>
      <c r="B512" t="s">
        <v>1992</v>
      </c>
      <c r="C512">
        <v>30</v>
      </c>
      <c r="D512">
        <v>29</v>
      </c>
    </row>
    <row r="513" spans="1:4" x14ac:dyDescent="0.3">
      <c r="A513" t="s">
        <v>1956</v>
      </c>
      <c r="B513" t="s">
        <v>1990</v>
      </c>
      <c r="C513">
        <v>50</v>
      </c>
      <c r="D513">
        <v>49</v>
      </c>
    </row>
    <row r="514" spans="1:4" x14ac:dyDescent="0.3">
      <c r="A514" t="s">
        <v>1956</v>
      </c>
      <c r="B514" t="s">
        <v>1988</v>
      </c>
      <c r="C514">
        <v>70</v>
      </c>
      <c r="D514">
        <v>66</v>
      </c>
    </row>
    <row r="515" spans="1:4" x14ac:dyDescent="0.3">
      <c r="A515" t="s">
        <v>1956</v>
      </c>
      <c r="B515" t="s">
        <v>1948</v>
      </c>
      <c r="C515">
        <v>800</v>
      </c>
      <c r="D515">
        <v>616</v>
      </c>
    </row>
    <row r="516" spans="1:4" x14ac:dyDescent="0.3">
      <c r="A516" t="s">
        <v>1956</v>
      </c>
      <c r="B516" t="s">
        <v>1948</v>
      </c>
      <c r="C516">
        <v>800</v>
      </c>
      <c r="D516">
        <v>528</v>
      </c>
    </row>
    <row r="517" spans="1:4" x14ac:dyDescent="0.3">
      <c r="A517" t="s">
        <v>1956</v>
      </c>
      <c r="B517" t="s">
        <v>1984</v>
      </c>
      <c r="C517">
        <v>80</v>
      </c>
      <c r="D517">
        <v>78</v>
      </c>
    </row>
    <row r="518" spans="1:4" x14ac:dyDescent="0.3">
      <c r="A518" t="s">
        <v>1956</v>
      </c>
      <c r="B518" t="s">
        <v>1986</v>
      </c>
      <c r="C518">
        <v>500</v>
      </c>
      <c r="D518">
        <v>490</v>
      </c>
    </row>
    <row r="519" spans="1:4" x14ac:dyDescent="0.3">
      <c r="A519" t="s">
        <v>1956</v>
      </c>
      <c r="B519" t="s">
        <v>1948</v>
      </c>
      <c r="C519">
        <v>800</v>
      </c>
      <c r="D519">
        <v>640</v>
      </c>
    </row>
    <row r="520" spans="1:4" x14ac:dyDescent="0.3">
      <c r="A520" t="s">
        <v>1956</v>
      </c>
      <c r="B520" t="s">
        <v>1949</v>
      </c>
      <c r="C520">
        <v>700</v>
      </c>
      <c r="D520">
        <v>602</v>
      </c>
    </row>
    <row r="521" spans="1:4" x14ac:dyDescent="0.3">
      <c r="A521" t="s">
        <v>1956</v>
      </c>
      <c r="B521" t="s">
        <v>1987</v>
      </c>
      <c r="C521">
        <v>50</v>
      </c>
      <c r="D521">
        <v>49</v>
      </c>
    </row>
    <row r="522" spans="1:4" x14ac:dyDescent="0.3">
      <c r="A522" t="s">
        <v>1956</v>
      </c>
      <c r="B522" t="s">
        <v>1987</v>
      </c>
      <c r="C522">
        <v>50</v>
      </c>
      <c r="D522">
        <v>49</v>
      </c>
    </row>
    <row r="523" spans="1:4" x14ac:dyDescent="0.3">
      <c r="A523" t="s">
        <v>1956</v>
      </c>
      <c r="B523" t="s">
        <v>1985</v>
      </c>
      <c r="C523">
        <v>250</v>
      </c>
      <c r="D523">
        <v>248</v>
      </c>
    </row>
    <row r="524" spans="1:4" x14ac:dyDescent="0.3">
      <c r="A524" t="s">
        <v>1956</v>
      </c>
      <c r="B524" t="s">
        <v>1988</v>
      </c>
      <c r="C524">
        <v>70</v>
      </c>
      <c r="D524">
        <v>69</v>
      </c>
    </row>
    <row r="525" spans="1:4" x14ac:dyDescent="0.3">
      <c r="A525" t="s">
        <v>1956</v>
      </c>
      <c r="B525" t="s">
        <v>1987</v>
      </c>
      <c r="C525">
        <v>50</v>
      </c>
      <c r="D525">
        <v>46</v>
      </c>
    </row>
    <row r="526" spans="1:4" x14ac:dyDescent="0.3">
      <c r="A526" t="s">
        <v>1956</v>
      </c>
      <c r="B526" t="s">
        <v>1985</v>
      </c>
      <c r="C526">
        <v>250</v>
      </c>
      <c r="D526">
        <v>230</v>
      </c>
    </row>
    <row r="527" spans="1:4" x14ac:dyDescent="0.3">
      <c r="A527" t="s">
        <v>1956</v>
      </c>
      <c r="B527" t="s">
        <v>1949</v>
      </c>
      <c r="C527">
        <v>700</v>
      </c>
      <c r="D527">
        <v>637</v>
      </c>
    </row>
    <row r="528" spans="1:4" x14ac:dyDescent="0.3">
      <c r="A528" t="s">
        <v>1956</v>
      </c>
      <c r="B528" t="s">
        <v>1989</v>
      </c>
      <c r="C528">
        <v>150</v>
      </c>
      <c r="D528">
        <v>131</v>
      </c>
    </row>
    <row r="529" spans="1:4" x14ac:dyDescent="0.3">
      <c r="A529" t="s">
        <v>1956</v>
      </c>
      <c r="B529" t="s">
        <v>1992</v>
      </c>
      <c r="C529">
        <v>30</v>
      </c>
      <c r="D529">
        <v>26</v>
      </c>
    </row>
    <row r="530" spans="1:4" x14ac:dyDescent="0.3">
      <c r="A530" t="s">
        <v>1956</v>
      </c>
      <c r="B530" t="s">
        <v>1991</v>
      </c>
      <c r="C530">
        <v>500</v>
      </c>
      <c r="D530">
        <v>450</v>
      </c>
    </row>
    <row r="531" spans="1:4" x14ac:dyDescent="0.3">
      <c r="A531" t="s">
        <v>1956</v>
      </c>
      <c r="B531" t="s">
        <v>1990</v>
      </c>
      <c r="C531">
        <v>50</v>
      </c>
      <c r="D531">
        <v>47</v>
      </c>
    </row>
    <row r="532" spans="1:4" x14ac:dyDescent="0.3">
      <c r="A532" t="s">
        <v>1956</v>
      </c>
      <c r="B532" t="s">
        <v>1991</v>
      </c>
      <c r="C532">
        <v>500</v>
      </c>
      <c r="D532">
        <v>440</v>
      </c>
    </row>
    <row r="533" spans="1:4" x14ac:dyDescent="0.3">
      <c r="A533" t="s">
        <v>1956</v>
      </c>
      <c r="B533" t="s">
        <v>1987</v>
      </c>
      <c r="C533">
        <v>50</v>
      </c>
      <c r="D533">
        <v>43</v>
      </c>
    </row>
    <row r="534" spans="1:4" x14ac:dyDescent="0.3">
      <c r="A534" t="s">
        <v>1956</v>
      </c>
      <c r="B534" t="s">
        <v>1984</v>
      </c>
      <c r="C534">
        <v>80</v>
      </c>
      <c r="D534">
        <v>76</v>
      </c>
    </row>
    <row r="535" spans="1:4" x14ac:dyDescent="0.3">
      <c r="A535" t="s">
        <v>1956</v>
      </c>
      <c r="B535" t="s">
        <v>1992</v>
      </c>
      <c r="C535">
        <v>30</v>
      </c>
      <c r="D535">
        <v>29</v>
      </c>
    </row>
    <row r="536" spans="1:4" x14ac:dyDescent="0.3">
      <c r="A536" t="s">
        <v>1956</v>
      </c>
      <c r="B536" t="s">
        <v>1988</v>
      </c>
      <c r="C536">
        <v>70</v>
      </c>
      <c r="D536">
        <v>67</v>
      </c>
    </row>
    <row r="537" spans="1:4" x14ac:dyDescent="0.3">
      <c r="A537" t="s">
        <v>1956</v>
      </c>
      <c r="B537" t="s">
        <v>1989</v>
      </c>
      <c r="C537">
        <v>150</v>
      </c>
      <c r="D537">
        <v>140</v>
      </c>
    </row>
    <row r="538" spans="1:4" x14ac:dyDescent="0.3">
      <c r="A538" t="s">
        <v>1956</v>
      </c>
      <c r="B538" t="s">
        <v>1948</v>
      </c>
      <c r="C538">
        <v>800</v>
      </c>
      <c r="D538">
        <v>472</v>
      </c>
    </row>
    <row r="539" spans="1:4" x14ac:dyDescent="0.3">
      <c r="A539" t="s">
        <v>1956</v>
      </c>
      <c r="B539" t="s">
        <v>1949</v>
      </c>
      <c r="C539">
        <v>700</v>
      </c>
      <c r="D539">
        <v>441</v>
      </c>
    </row>
    <row r="540" spans="1:4" x14ac:dyDescent="0.3">
      <c r="A540" t="s">
        <v>1956</v>
      </c>
      <c r="B540" t="s">
        <v>1990</v>
      </c>
      <c r="C540">
        <v>50</v>
      </c>
      <c r="D540">
        <v>41</v>
      </c>
    </row>
    <row r="541" spans="1:4" x14ac:dyDescent="0.3">
      <c r="A541" t="s">
        <v>1956</v>
      </c>
      <c r="B541" t="s">
        <v>1985</v>
      </c>
      <c r="C541">
        <v>250</v>
      </c>
      <c r="D541">
        <v>163</v>
      </c>
    </row>
    <row r="542" spans="1:4" x14ac:dyDescent="0.3">
      <c r="A542" t="s">
        <v>1956</v>
      </c>
      <c r="B542" t="s">
        <v>1948</v>
      </c>
      <c r="C542">
        <v>800</v>
      </c>
      <c r="D542">
        <v>616</v>
      </c>
    </row>
    <row r="543" spans="1:4" x14ac:dyDescent="0.3">
      <c r="A543" t="s">
        <v>1956</v>
      </c>
      <c r="B543" t="s">
        <v>1984</v>
      </c>
      <c r="C543">
        <v>80</v>
      </c>
      <c r="D543">
        <v>58</v>
      </c>
    </row>
    <row r="544" spans="1:4" x14ac:dyDescent="0.3">
      <c r="A544" t="s">
        <v>1956</v>
      </c>
      <c r="B544" t="s">
        <v>1990</v>
      </c>
      <c r="C544">
        <v>50</v>
      </c>
      <c r="D544">
        <v>46</v>
      </c>
    </row>
    <row r="545" spans="1:4" x14ac:dyDescent="0.3">
      <c r="A545" t="s">
        <v>1956</v>
      </c>
      <c r="B545" t="s">
        <v>1987</v>
      </c>
      <c r="C545">
        <v>50</v>
      </c>
      <c r="D545">
        <v>44</v>
      </c>
    </row>
    <row r="546" spans="1:4" x14ac:dyDescent="0.3">
      <c r="A546" t="s">
        <v>1956</v>
      </c>
      <c r="B546" t="s">
        <v>1988</v>
      </c>
      <c r="C546">
        <v>70</v>
      </c>
      <c r="D546">
        <v>57</v>
      </c>
    </row>
    <row r="547" spans="1:4" x14ac:dyDescent="0.3">
      <c r="A547" t="s">
        <v>1956</v>
      </c>
      <c r="B547" t="s">
        <v>1948</v>
      </c>
      <c r="C547">
        <v>800</v>
      </c>
      <c r="D547">
        <v>632</v>
      </c>
    </row>
    <row r="548" spans="1:4" x14ac:dyDescent="0.3">
      <c r="A548" t="s">
        <v>1956</v>
      </c>
      <c r="B548" t="s">
        <v>1985</v>
      </c>
      <c r="C548">
        <v>250</v>
      </c>
      <c r="D548">
        <v>215</v>
      </c>
    </row>
    <row r="549" spans="1:4" x14ac:dyDescent="0.3">
      <c r="A549" t="s">
        <v>1956</v>
      </c>
      <c r="B549" t="s">
        <v>1989</v>
      </c>
      <c r="C549">
        <v>150</v>
      </c>
      <c r="D549">
        <v>143</v>
      </c>
    </row>
    <row r="550" spans="1:4" x14ac:dyDescent="0.3">
      <c r="A550" t="s">
        <v>1956</v>
      </c>
      <c r="B550" t="s">
        <v>1988</v>
      </c>
      <c r="C550">
        <v>70</v>
      </c>
      <c r="D550">
        <v>59</v>
      </c>
    </row>
    <row r="551" spans="1:4" x14ac:dyDescent="0.3">
      <c r="A551" t="s">
        <v>1956</v>
      </c>
      <c r="B551" t="s">
        <v>1989</v>
      </c>
      <c r="C551">
        <v>150</v>
      </c>
      <c r="D551">
        <v>119</v>
      </c>
    </row>
    <row r="552" spans="1:4" x14ac:dyDescent="0.3">
      <c r="A552" t="s">
        <v>1956</v>
      </c>
      <c r="B552" t="s">
        <v>1985</v>
      </c>
      <c r="C552">
        <v>250</v>
      </c>
      <c r="D552">
        <v>243</v>
      </c>
    </row>
    <row r="553" spans="1:4" x14ac:dyDescent="0.3">
      <c r="A553" t="s">
        <v>1956</v>
      </c>
      <c r="B553" t="s">
        <v>1990</v>
      </c>
      <c r="C553">
        <v>50</v>
      </c>
      <c r="D553">
        <v>50</v>
      </c>
    </row>
    <row r="554" spans="1:4" x14ac:dyDescent="0.3">
      <c r="A554" t="s">
        <v>1957</v>
      </c>
      <c r="B554" t="s">
        <v>1948</v>
      </c>
      <c r="C554">
        <v>800</v>
      </c>
      <c r="D554">
        <v>512</v>
      </c>
    </row>
    <row r="555" spans="1:4" x14ac:dyDescent="0.3">
      <c r="A555" t="s">
        <v>1957</v>
      </c>
      <c r="B555" t="s">
        <v>1992</v>
      </c>
      <c r="C555">
        <v>30</v>
      </c>
      <c r="D555">
        <v>26</v>
      </c>
    </row>
    <row r="556" spans="1:4" x14ac:dyDescent="0.3">
      <c r="A556" t="s">
        <v>1957</v>
      </c>
      <c r="B556" t="s">
        <v>1991</v>
      </c>
      <c r="C556">
        <v>500</v>
      </c>
      <c r="D556">
        <v>475</v>
      </c>
    </row>
    <row r="557" spans="1:4" x14ac:dyDescent="0.3">
      <c r="A557" t="s">
        <v>1957</v>
      </c>
      <c r="B557" t="s">
        <v>1992</v>
      </c>
      <c r="C557">
        <v>30</v>
      </c>
      <c r="D557">
        <v>30</v>
      </c>
    </row>
    <row r="558" spans="1:4" x14ac:dyDescent="0.3">
      <c r="A558" t="s">
        <v>1957</v>
      </c>
      <c r="B558" t="s">
        <v>1992</v>
      </c>
      <c r="C558">
        <v>30</v>
      </c>
      <c r="D558">
        <v>26</v>
      </c>
    </row>
    <row r="559" spans="1:4" x14ac:dyDescent="0.3">
      <c r="A559" t="s">
        <v>1957</v>
      </c>
      <c r="B559" t="s">
        <v>1985</v>
      </c>
      <c r="C559">
        <v>250</v>
      </c>
      <c r="D559">
        <v>240</v>
      </c>
    </row>
    <row r="560" spans="1:4" x14ac:dyDescent="0.3">
      <c r="A560" t="s">
        <v>1957</v>
      </c>
      <c r="B560" t="s">
        <v>1986</v>
      </c>
      <c r="C560">
        <v>500</v>
      </c>
      <c r="D560">
        <v>495</v>
      </c>
    </row>
    <row r="561" spans="1:4" x14ac:dyDescent="0.3">
      <c r="A561" t="s">
        <v>1957</v>
      </c>
      <c r="B561" t="s">
        <v>1986</v>
      </c>
      <c r="C561">
        <v>500</v>
      </c>
      <c r="D561">
        <v>500</v>
      </c>
    </row>
    <row r="562" spans="1:4" x14ac:dyDescent="0.3">
      <c r="A562" t="s">
        <v>1957</v>
      </c>
      <c r="B562" t="s">
        <v>1985</v>
      </c>
      <c r="C562">
        <v>250</v>
      </c>
      <c r="D562">
        <v>245</v>
      </c>
    </row>
    <row r="563" spans="1:4" x14ac:dyDescent="0.3">
      <c r="A563" t="s">
        <v>1957</v>
      </c>
      <c r="B563" t="s">
        <v>1990</v>
      </c>
      <c r="C563">
        <v>50</v>
      </c>
      <c r="D563">
        <v>50</v>
      </c>
    </row>
    <row r="564" spans="1:4" x14ac:dyDescent="0.3">
      <c r="A564" t="s">
        <v>1957</v>
      </c>
      <c r="B564" t="s">
        <v>1990</v>
      </c>
      <c r="C564">
        <v>50</v>
      </c>
      <c r="D564">
        <v>47</v>
      </c>
    </row>
    <row r="565" spans="1:4" x14ac:dyDescent="0.3">
      <c r="A565" t="s">
        <v>1957</v>
      </c>
      <c r="B565" t="s">
        <v>1984</v>
      </c>
      <c r="C565">
        <v>80</v>
      </c>
      <c r="D565">
        <v>73</v>
      </c>
    </row>
    <row r="566" spans="1:4" x14ac:dyDescent="0.3">
      <c r="A566" t="s">
        <v>1957</v>
      </c>
      <c r="B566" t="s">
        <v>1985</v>
      </c>
      <c r="C566">
        <v>250</v>
      </c>
      <c r="D566">
        <v>225</v>
      </c>
    </row>
    <row r="567" spans="1:4" x14ac:dyDescent="0.3">
      <c r="A567" t="s">
        <v>1957</v>
      </c>
      <c r="B567" t="s">
        <v>1985</v>
      </c>
      <c r="C567">
        <v>250</v>
      </c>
      <c r="D567">
        <v>238</v>
      </c>
    </row>
    <row r="568" spans="1:4" x14ac:dyDescent="0.3">
      <c r="A568" t="s">
        <v>1957</v>
      </c>
      <c r="B568" t="s">
        <v>1990</v>
      </c>
      <c r="C568">
        <v>50</v>
      </c>
      <c r="D568">
        <v>47</v>
      </c>
    </row>
    <row r="569" spans="1:4" x14ac:dyDescent="0.3">
      <c r="A569" t="s">
        <v>1957</v>
      </c>
      <c r="B569" t="s">
        <v>1991</v>
      </c>
      <c r="C569">
        <v>500</v>
      </c>
      <c r="D569">
        <v>435</v>
      </c>
    </row>
    <row r="570" spans="1:4" x14ac:dyDescent="0.3">
      <c r="A570" t="s">
        <v>1957</v>
      </c>
      <c r="B570" t="s">
        <v>1984</v>
      </c>
      <c r="C570">
        <v>80</v>
      </c>
      <c r="D570">
        <v>79</v>
      </c>
    </row>
    <row r="571" spans="1:4" x14ac:dyDescent="0.3">
      <c r="A571" t="s">
        <v>1957</v>
      </c>
      <c r="B571" t="s">
        <v>1986</v>
      </c>
      <c r="C571">
        <v>500</v>
      </c>
      <c r="D571">
        <v>500</v>
      </c>
    </row>
    <row r="572" spans="1:4" x14ac:dyDescent="0.3">
      <c r="A572" t="s">
        <v>1957</v>
      </c>
      <c r="B572" t="s">
        <v>1987</v>
      </c>
      <c r="C572">
        <v>50</v>
      </c>
      <c r="D572">
        <v>17</v>
      </c>
    </row>
    <row r="573" spans="1:4" x14ac:dyDescent="0.3">
      <c r="A573" t="s">
        <v>1957</v>
      </c>
      <c r="B573" t="s">
        <v>1985</v>
      </c>
      <c r="C573">
        <v>250</v>
      </c>
      <c r="D573">
        <v>250</v>
      </c>
    </row>
    <row r="574" spans="1:4" x14ac:dyDescent="0.3">
      <c r="A574" t="s">
        <v>1957</v>
      </c>
      <c r="B574" t="s">
        <v>1992</v>
      </c>
      <c r="C574">
        <v>30</v>
      </c>
      <c r="D574">
        <v>26</v>
      </c>
    </row>
    <row r="575" spans="1:4" x14ac:dyDescent="0.3">
      <c r="A575" t="s">
        <v>1957</v>
      </c>
      <c r="B575" t="s">
        <v>1949</v>
      </c>
      <c r="C575">
        <v>700</v>
      </c>
      <c r="D575">
        <v>658</v>
      </c>
    </row>
    <row r="576" spans="1:4" x14ac:dyDescent="0.3">
      <c r="A576" t="s">
        <v>1957</v>
      </c>
      <c r="B576" t="s">
        <v>1948</v>
      </c>
      <c r="C576">
        <v>800</v>
      </c>
      <c r="D576">
        <v>512</v>
      </c>
    </row>
    <row r="577" spans="1:4" x14ac:dyDescent="0.3">
      <c r="A577" t="s">
        <v>1957</v>
      </c>
      <c r="B577" t="s">
        <v>1987</v>
      </c>
      <c r="C577">
        <v>50</v>
      </c>
      <c r="D577">
        <v>48</v>
      </c>
    </row>
    <row r="578" spans="1:4" x14ac:dyDescent="0.3">
      <c r="A578" t="s">
        <v>1957</v>
      </c>
      <c r="B578" t="s">
        <v>1989</v>
      </c>
      <c r="C578">
        <v>150</v>
      </c>
      <c r="D578">
        <v>141</v>
      </c>
    </row>
    <row r="579" spans="1:4" x14ac:dyDescent="0.3">
      <c r="A579" t="s">
        <v>1957</v>
      </c>
      <c r="B579" t="s">
        <v>1989</v>
      </c>
      <c r="C579">
        <v>150</v>
      </c>
      <c r="D579">
        <v>140</v>
      </c>
    </row>
    <row r="580" spans="1:4" x14ac:dyDescent="0.3">
      <c r="A580" t="s">
        <v>1957</v>
      </c>
      <c r="B580" t="s">
        <v>1985</v>
      </c>
      <c r="C580">
        <v>250</v>
      </c>
      <c r="D580">
        <v>225</v>
      </c>
    </row>
    <row r="581" spans="1:4" x14ac:dyDescent="0.3">
      <c r="A581" t="s">
        <v>1957</v>
      </c>
      <c r="B581" t="s">
        <v>1986</v>
      </c>
      <c r="C581">
        <v>500</v>
      </c>
      <c r="D581">
        <v>495</v>
      </c>
    </row>
    <row r="582" spans="1:4" x14ac:dyDescent="0.3">
      <c r="A582" t="s">
        <v>1957</v>
      </c>
      <c r="B582" t="s">
        <v>1984</v>
      </c>
      <c r="C582">
        <v>80</v>
      </c>
      <c r="D582">
        <v>77</v>
      </c>
    </row>
    <row r="583" spans="1:4" x14ac:dyDescent="0.3">
      <c r="A583" t="s">
        <v>1957</v>
      </c>
      <c r="B583" t="s">
        <v>1991</v>
      </c>
      <c r="C583">
        <v>500</v>
      </c>
      <c r="D583">
        <v>495</v>
      </c>
    </row>
    <row r="584" spans="1:4" x14ac:dyDescent="0.3">
      <c r="A584" t="s">
        <v>1957</v>
      </c>
      <c r="B584" t="s">
        <v>1988</v>
      </c>
      <c r="C584">
        <v>70</v>
      </c>
      <c r="D584">
        <v>67</v>
      </c>
    </row>
    <row r="585" spans="1:4" x14ac:dyDescent="0.3">
      <c r="A585" t="s">
        <v>1957</v>
      </c>
      <c r="B585" t="s">
        <v>1992</v>
      </c>
      <c r="C585">
        <v>30</v>
      </c>
      <c r="D585">
        <v>27</v>
      </c>
    </row>
    <row r="586" spans="1:4" x14ac:dyDescent="0.3">
      <c r="A586" t="s">
        <v>1957</v>
      </c>
      <c r="B586" t="s">
        <v>1948</v>
      </c>
      <c r="C586">
        <v>800</v>
      </c>
      <c r="D586">
        <v>640</v>
      </c>
    </row>
    <row r="587" spans="1:4" x14ac:dyDescent="0.3">
      <c r="A587" t="s">
        <v>1957</v>
      </c>
      <c r="B587" t="s">
        <v>1949</v>
      </c>
      <c r="C587">
        <v>700</v>
      </c>
      <c r="D587">
        <v>651</v>
      </c>
    </row>
    <row r="588" spans="1:4" x14ac:dyDescent="0.3">
      <c r="A588" t="s">
        <v>1957</v>
      </c>
      <c r="B588" t="s">
        <v>1986</v>
      </c>
      <c r="C588">
        <v>500</v>
      </c>
      <c r="D588">
        <v>495</v>
      </c>
    </row>
    <row r="589" spans="1:4" x14ac:dyDescent="0.3">
      <c r="A589" t="s">
        <v>1957</v>
      </c>
      <c r="B589" t="s">
        <v>1992</v>
      </c>
      <c r="C589">
        <v>30</v>
      </c>
      <c r="D589">
        <v>29</v>
      </c>
    </row>
    <row r="590" spans="1:4" x14ac:dyDescent="0.3">
      <c r="A590" t="s">
        <v>1957</v>
      </c>
      <c r="B590" t="s">
        <v>1949</v>
      </c>
      <c r="C590">
        <v>700</v>
      </c>
      <c r="D590">
        <v>651</v>
      </c>
    </row>
    <row r="591" spans="1:4" x14ac:dyDescent="0.3">
      <c r="A591" t="s">
        <v>1957</v>
      </c>
      <c r="B591" t="s">
        <v>1989</v>
      </c>
      <c r="C591">
        <v>150</v>
      </c>
      <c r="D591">
        <v>141</v>
      </c>
    </row>
    <row r="592" spans="1:4" x14ac:dyDescent="0.3">
      <c r="A592" t="s">
        <v>1957</v>
      </c>
      <c r="B592" t="s">
        <v>1987</v>
      </c>
      <c r="C592">
        <v>50</v>
      </c>
      <c r="D592">
        <v>50</v>
      </c>
    </row>
    <row r="593" spans="1:4" x14ac:dyDescent="0.3">
      <c r="A593" t="s">
        <v>1957</v>
      </c>
      <c r="B593" t="s">
        <v>1988</v>
      </c>
      <c r="C593">
        <v>70</v>
      </c>
      <c r="D593">
        <v>70</v>
      </c>
    </row>
    <row r="594" spans="1:4" x14ac:dyDescent="0.3">
      <c r="A594" t="s">
        <v>1957</v>
      </c>
      <c r="B594" t="s">
        <v>1991</v>
      </c>
      <c r="C594">
        <v>500</v>
      </c>
      <c r="D594">
        <v>485</v>
      </c>
    </row>
    <row r="595" spans="1:4" x14ac:dyDescent="0.3">
      <c r="A595" t="s">
        <v>1957</v>
      </c>
      <c r="B595" t="s">
        <v>1989</v>
      </c>
      <c r="C595">
        <v>150</v>
      </c>
      <c r="D595">
        <v>143</v>
      </c>
    </row>
    <row r="596" spans="1:4" x14ac:dyDescent="0.3">
      <c r="A596" t="s">
        <v>1957</v>
      </c>
      <c r="B596" t="s">
        <v>1991</v>
      </c>
      <c r="C596">
        <v>500</v>
      </c>
      <c r="D596">
        <v>475</v>
      </c>
    </row>
    <row r="597" spans="1:4" x14ac:dyDescent="0.3">
      <c r="A597" t="s">
        <v>1957</v>
      </c>
      <c r="B597" t="s">
        <v>1991</v>
      </c>
      <c r="C597">
        <v>500</v>
      </c>
      <c r="D597">
        <v>435</v>
      </c>
    </row>
    <row r="598" spans="1:4" x14ac:dyDescent="0.3">
      <c r="A598" t="s">
        <v>1957</v>
      </c>
      <c r="B598" t="s">
        <v>1985</v>
      </c>
      <c r="C598">
        <v>250</v>
      </c>
      <c r="D598">
        <v>240</v>
      </c>
    </row>
    <row r="599" spans="1:4" x14ac:dyDescent="0.3">
      <c r="A599" t="s">
        <v>1957</v>
      </c>
      <c r="B599" t="s">
        <v>1989</v>
      </c>
      <c r="C599">
        <v>150</v>
      </c>
      <c r="D599">
        <v>149</v>
      </c>
    </row>
    <row r="600" spans="1:4" x14ac:dyDescent="0.3">
      <c r="A600" t="s">
        <v>1957</v>
      </c>
      <c r="B600" t="s">
        <v>1988</v>
      </c>
      <c r="C600">
        <v>70</v>
      </c>
      <c r="D600">
        <v>62</v>
      </c>
    </row>
    <row r="601" spans="1:4" x14ac:dyDescent="0.3">
      <c r="A601" t="s">
        <v>1957</v>
      </c>
      <c r="B601" t="s">
        <v>1988</v>
      </c>
      <c r="C601">
        <v>70</v>
      </c>
      <c r="D601">
        <v>63</v>
      </c>
    </row>
    <row r="602" spans="1:4" x14ac:dyDescent="0.3">
      <c r="A602" t="s">
        <v>1957</v>
      </c>
      <c r="B602" t="s">
        <v>1985</v>
      </c>
      <c r="C602">
        <v>250</v>
      </c>
      <c r="D602">
        <v>213</v>
      </c>
    </row>
    <row r="603" spans="1:4" x14ac:dyDescent="0.3">
      <c r="A603" t="s">
        <v>1957</v>
      </c>
      <c r="B603" t="s">
        <v>1987</v>
      </c>
      <c r="C603">
        <v>50</v>
      </c>
      <c r="D603">
        <v>44</v>
      </c>
    </row>
    <row r="604" spans="1:4" x14ac:dyDescent="0.3">
      <c r="A604" t="s">
        <v>1957</v>
      </c>
      <c r="B604" t="s">
        <v>1984</v>
      </c>
      <c r="C604">
        <v>80</v>
      </c>
      <c r="D604">
        <v>72</v>
      </c>
    </row>
    <row r="605" spans="1:4" x14ac:dyDescent="0.3">
      <c r="A605" t="s">
        <v>1957</v>
      </c>
      <c r="B605" t="s">
        <v>1984</v>
      </c>
      <c r="C605">
        <v>80</v>
      </c>
      <c r="D605">
        <v>78</v>
      </c>
    </row>
    <row r="606" spans="1:4" x14ac:dyDescent="0.3">
      <c r="A606" t="s">
        <v>1957</v>
      </c>
      <c r="B606" t="s">
        <v>1990</v>
      </c>
      <c r="C606">
        <v>50</v>
      </c>
      <c r="D606">
        <v>49</v>
      </c>
    </row>
    <row r="607" spans="1:4" x14ac:dyDescent="0.3">
      <c r="A607" t="s">
        <v>1957</v>
      </c>
      <c r="B607" t="s">
        <v>1992</v>
      </c>
      <c r="C607">
        <v>30</v>
      </c>
      <c r="D607">
        <v>29</v>
      </c>
    </row>
    <row r="608" spans="1:4" x14ac:dyDescent="0.3">
      <c r="A608" t="s">
        <v>1957</v>
      </c>
      <c r="B608" t="s">
        <v>1987</v>
      </c>
      <c r="C608">
        <v>50</v>
      </c>
      <c r="D608">
        <v>49</v>
      </c>
    </row>
    <row r="609" spans="1:4" x14ac:dyDescent="0.3">
      <c r="A609" t="s">
        <v>1957</v>
      </c>
      <c r="B609" t="s">
        <v>1991</v>
      </c>
      <c r="C609">
        <v>500</v>
      </c>
      <c r="D609">
        <v>445</v>
      </c>
    </row>
    <row r="610" spans="1:4" x14ac:dyDescent="0.3">
      <c r="A610" t="s">
        <v>1957</v>
      </c>
      <c r="B610" t="s">
        <v>1984</v>
      </c>
      <c r="C610">
        <v>80</v>
      </c>
      <c r="D610">
        <v>70</v>
      </c>
    </row>
    <row r="611" spans="1:4" x14ac:dyDescent="0.3">
      <c r="A611" t="s">
        <v>1957</v>
      </c>
      <c r="B611" t="s">
        <v>1989</v>
      </c>
      <c r="C611">
        <v>150</v>
      </c>
      <c r="D611">
        <v>129</v>
      </c>
    </row>
    <row r="612" spans="1:4" x14ac:dyDescent="0.3">
      <c r="A612" t="s">
        <v>1957</v>
      </c>
      <c r="B612" t="s">
        <v>1989</v>
      </c>
      <c r="C612">
        <v>150</v>
      </c>
      <c r="D612">
        <v>138</v>
      </c>
    </row>
    <row r="613" spans="1:4" x14ac:dyDescent="0.3">
      <c r="A613" t="s">
        <v>1957</v>
      </c>
      <c r="B613" t="s">
        <v>1949</v>
      </c>
      <c r="C613">
        <v>700</v>
      </c>
      <c r="D613">
        <v>469</v>
      </c>
    </row>
    <row r="614" spans="1:4" x14ac:dyDescent="0.3">
      <c r="A614" t="s">
        <v>1957</v>
      </c>
      <c r="B614" t="s">
        <v>1986</v>
      </c>
      <c r="C614">
        <v>500</v>
      </c>
      <c r="D614">
        <v>495</v>
      </c>
    </row>
    <row r="615" spans="1:4" x14ac:dyDescent="0.3">
      <c r="A615" t="s">
        <v>1957</v>
      </c>
      <c r="B615" t="s">
        <v>1991</v>
      </c>
      <c r="C615">
        <v>500</v>
      </c>
      <c r="D615">
        <v>490</v>
      </c>
    </row>
    <row r="616" spans="1:4" x14ac:dyDescent="0.3">
      <c r="A616" t="s">
        <v>1957</v>
      </c>
      <c r="B616" t="s">
        <v>1984</v>
      </c>
      <c r="C616">
        <v>80</v>
      </c>
      <c r="D616">
        <v>58</v>
      </c>
    </row>
    <row r="617" spans="1:4" x14ac:dyDescent="0.3">
      <c r="A617" t="s">
        <v>1957</v>
      </c>
      <c r="B617" t="s">
        <v>1988</v>
      </c>
      <c r="C617">
        <v>70</v>
      </c>
      <c r="D617">
        <v>57</v>
      </c>
    </row>
    <row r="618" spans="1:4" x14ac:dyDescent="0.3">
      <c r="A618" t="s">
        <v>1957</v>
      </c>
      <c r="B618" t="s">
        <v>1984</v>
      </c>
      <c r="C618">
        <v>80</v>
      </c>
      <c r="D618">
        <v>74</v>
      </c>
    </row>
    <row r="619" spans="1:4" x14ac:dyDescent="0.3">
      <c r="A619" t="s">
        <v>1957</v>
      </c>
      <c r="B619" t="s">
        <v>1992</v>
      </c>
      <c r="C619">
        <v>30</v>
      </c>
      <c r="D619">
        <v>23</v>
      </c>
    </row>
    <row r="620" spans="1:4" x14ac:dyDescent="0.3">
      <c r="A620" t="s">
        <v>1957</v>
      </c>
      <c r="B620" t="s">
        <v>1986</v>
      </c>
      <c r="C620">
        <v>500</v>
      </c>
      <c r="D620">
        <v>495</v>
      </c>
    </row>
    <row r="621" spans="1:4" x14ac:dyDescent="0.3">
      <c r="A621" t="s">
        <v>1957</v>
      </c>
      <c r="B621" t="s">
        <v>1949</v>
      </c>
      <c r="C621">
        <v>700</v>
      </c>
      <c r="D621">
        <v>609</v>
      </c>
    </row>
    <row r="622" spans="1:4" x14ac:dyDescent="0.3">
      <c r="A622" t="s">
        <v>1957</v>
      </c>
      <c r="B622" t="s">
        <v>1984</v>
      </c>
      <c r="C622">
        <v>80</v>
      </c>
      <c r="D622">
        <v>65</v>
      </c>
    </row>
    <row r="623" spans="1:4" x14ac:dyDescent="0.3">
      <c r="A623" t="s">
        <v>1957</v>
      </c>
      <c r="B623" t="s">
        <v>1989</v>
      </c>
      <c r="C623">
        <v>150</v>
      </c>
      <c r="D623">
        <v>105</v>
      </c>
    </row>
    <row r="624" spans="1:4" x14ac:dyDescent="0.3">
      <c r="A624" t="s">
        <v>1957</v>
      </c>
      <c r="B624" t="s">
        <v>1987</v>
      </c>
      <c r="C624">
        <v>50</v>
      </c>
      <c r="D624">
        <v>43</v>
      </c>
    </row>
    <row r="625" spans="1:4" x14ac:dyDescent="0.3">
      <c r="A625" t="s">
        <v>1957</v>
      </c>
      <c r="B625" t="s">
        <v>1992</v>
      </c>
      <c r="C625">
        <v>30</v>
      </c>
      <c r="D625">
        <v>21</v>
      </c>
    </row>
    <row r="626" spans="1:4" x14ac:dyDescent="0.3">
      <c r="A626" t="s">
        <v>1957</v>
      </c>
      <c r="B626" t="s">
        <v>1985</v>
      </c>
      <c r="C626">
        <v>250</v>
      </c>
      <c r="D626">
        <v>238</v>
      </c>
    </row>
    <row r="627" spans="1:4" x14ac:dyDescent="0.3">
      <c r="A627" t="s">
        <v>1957</v>
      </c>
      <c r="B627" t="s">
        <v>1987</v>
      </c>
      <c r="C627">
        <v>50</v>
      </c>
      <c r="D627">
        <v>34</v>
      </c>
    </row>
    <row r="628" spans="1:4" x14ac:dyDescent="0.3">
      <c r="A628" t="s">
        <v>1957</v>
      </c>
      <c r="B628" t="s">
        <v>1985</v>
      </c>
      <c r="C628">
        <v>250</v>
      </c>
      <c r="D628">
        <v>205</v>
      </c>
    </row>
    <row r="629" spans="1:4" x14ac:dyDescent="0.3">
      <c r="A629" t="s">
        <v>1957</v>
      </c>
      <c r="B629" t="s">
        <v>1984</v>
      </c>
      <c r="C629">
        <v>80</v>
      </c>
      <c r="D629">
        <v>62</v>
      </c>
    </row>
    <row r="630" spans="1:4" x14ac:dyDescent="0.3">
      <c r="A630" t="s">
        <v>1957</v>
      </c>
      <c r="B630" t="s">
        <v>1990</v>
      </c>
      <c r="C630">
        <v>50</v>
      </c>
      <c r="D630">
        <v>39</v>
      </c>
    </row>
    <row r="631" spans="1:4" x14ac:dyDescent="0.3">
      <c r="A631" t="s">
        <v>1957</v>
      </c>
      <c r="B631" t="s">
        <v>1987</v>
      </c>
      <c r="C631">
        <v>50</v>
      </c>
      <c r="D631">
        <v>45</v>
      </c>
    </row>
    <row r="632" spans="1:4" x14ac:dyDescent="0.3">
      <c r="A632" t="s">
        <v>1957</v>
      </c>
      <c r="B632" t="s">
        <v>1992</v>
      </c>
      <c r="C632">
        <v>30</v>
      </c>
      <c r="D632">
        <v>20</v>
      </c>
    </row>
    <row r="633" spans="1:4" x14ac:dyDescent="0.3">
      <c r="A633" t="s">
        <v>1957</v>
      </c>
      <c r="B633" t="s">
        <v>1986</v>
      </c>
      <c r="C633">
        <v>500</v>
      </c>
      <c r="D633">
        <v>500</v>
      </c>
    </row>
    <row r="634" spans="1:4" x14ac:dyDescent="0.3">
      <c r="A634" t="s">
        <v>1957</v>
      </c>
      <c r="B634" t="s">
        <v>1987</v>
      </c>
      <c r="C634">
        <v>50</v>
      </c>
      <c r="D634">
        <v>45</v>
      </c>
    </row>
    <row r="635" spans="1:4" x14ac:dyDescent="0.3">
      <c r="A635" t="s">
        <v>1957</v>
      </c>
      <c r="B635" t="s">
        <v>1949</v>
      </c>
      <c r="C635">
        <v>700</v>
      </c>
      <c r="D635">
        <v>462</v>
      </c>
    </row>
    <row r="636" spans="1:4" x14ac:dyDescent="0.3">
      <c r="A636" t="s">
        <v>1957</v>
      </c>
      <c r="B636" t="s">
        <v>1984</v>
      </c>
      <c r="C636">
        <v>80</v>
      </c>
      <c r="D636">
        <v>78</v>
      </c>
    </row>
    <row r="637" spans="1:4" x14ac:dyDescent="0.3">
      <c r="A637" t="s">
        <v>1957</v>
      </c>
      <c r="B637" t="s">
        <v>1949</v>
      </c>
      <c r="C637">
        <v>700</v>
      </c>
      <c r="D637">
        <v>448</v>
      </c>
    </row>
    <row r="638" spans="1:4" x14ac:dyDescent="0.3">
      <c r="A638" t="s">
        <v>1957</v>
      </c>
      <c r="B638" t="s">
        <v>1991</v>
      </c>
      <c r="C638">
        <v>500</v>
      </c>
      <c r="D638">
        <v>360</v>
      </c>
    </row>
    <row r="639" spans="1:4" x14ac:dyDescent="0.3">
      <c r="A639" t="s">
        <v>1957</v>
      </c>
      <c r="B639" t="s">
        <v>1990</v>
      </c>
      <c r="C639">
        <v>50</v>
      </c>
      <c r="D639">
        <v>42</v>
      </c>
    </row>
    <row r="640" spans="1:4" x14ac:dyDescent="0.3">
      <c r="A640" t="s">
        <v>1957</v>
      </c>
      <c r="B640" t="s">
        <v>1992</v>
      </c>
      <c r="C640">
        <v>30</v>
      </c>
      <c r="D640">
        <v>20</v>
      </c>
    </row>
    <row r="641" spans="1:4" x14ac:dyDescent="0.3">
      <c r="A641" t="s">
        <v>1957</v>
      </c>
      <c r="B641" t="s">
        <v>1987</v>
      </c>
      <c r="C641">
        <v>50</v>
      </c>
      <c r="D641">
        <v>39</v>
      </c>
    </row>
    <row r="642" spans="1:4" x14ac:dyDescent="0.3">
      <c r="A642" t="s">
        <v>1957</v>
      </c>
      <c r="B642" t="s">
        <v>1990</v>
      </c>
      <c r="C642">
        <v>50</v>
      </c>
      <c r="D642">
        <v>38</v>
      </c>
    </row>
    <row r="643" spans="1:4" x14ac:dyDescent="0.3">
      <c r="A643" t="s">
        <v>1957</v>
      </c>
      <c r="B643" t="s">
        <v>1948</v>
      </c>
      <c r="C643">
        <v>800</v>
      </c>
      <c r="D643">
        <v>504</v>
      </c>
    </row>
    <row r="644" spans="1:4" x14ac:dyDescent="0.3">
      <c r="A644" t="s">
        <v>1957</v>
      </c>
      <c r="B644" t="s">
        <v>1989</v>
      </c>
      <c r="C644">
        <v>150</v>
      </c>
      <c r="D644">
        <v>105</v>
      </c>
    </row>
    <row r="645" spans="1:4" x14ac:dyDescent="0.3">
      <c r="A645" t="s">
        <v>1957</v>
      </c>
      <c r="B645" t="s">
        <v>1987</v>
      </c>
      <c r="C645">
        <v>50</v>
      </c>
      <c r="D645">
        <v>42</v>
      </c>
    </row>
    <row r="646" spans="1:4" x14ac:dyDescent="0.3">
      <c r="A646" t="s">
        <v>1957</v>
      </c>
      <c r="B646" t="s">
        <v>1986</v>
      </c>
      <c r="C646">
        <v>500</v>
      </c>
      <c r="D646">
        <v>495</v>
      </c>
    </row>
    <row r="647" spans="1:4" x14ac:dyDescent="0.3">
      <c r="A647" t="s">
        <v>1957</v>
      </c>
      <c r="B647" t="s">
        <v>1985</v>
      </c>
      <c r="C647">
        <v>250</v>
      </c>
      <c r="D647">
        <v>193</v>
      </c>
    </row>
    <row r="648" spans="1:4" x14ac:dyDescent="0.3">
      <c r="A648" t="s">
        <v>1957</v>
      </c>
      <c r="B648" t="s">
        <v>1991</v>
      </c>
      <c r="C648">
        <v>500</v>
      </c>
      <c r="D648">
        <v>455</v>
      </c>
    </row>
    <row r="649" spans="1:4" x14ac:dyDescent="0.3">
      <c r="A649" t="s">
        <v>1957</v>
      </c>
      <c r="B649" t="s">
        <v>1990</v>
      </c>
      <c r="C649">
        <v>50</v>
      </c>
      <c r="D649">
        <v>45</v>
      </c>
    </row>
    <row r="650" spans="1:4" x14ac:dyDescent="0.3">
      <c r="A650" t="s">
        <v>1957</v>
      </c>
      <c r="B650" t="s">
        <v>1948</v>
      </c>
      <c r="C650">
        <v>800</v>
      </c>
      <c r="D650">
        <v>648</v>
      </c>
    </row>
    <row r="651" spans="1:4" x14ac:dyDescent="0.3">
      <c r="A651" t="s">
        <v>1957</v>
      </c>
      <c r="B651" t="s">
        <v>1990</v>
      </c>
      <c r="C651">
        <v>50</v>
      </c>
      <c r="D651">
        <v>40</v>
      </c>
    </row>
    <row r="652" spans="1:4" x14ac:dyDescent="0.3">
      <c r="A652" t="s">
        <v>1957</v>
      </c>
      <c r="B652" t="s">
        <v>1986</v>
      </c>
      <c r="C652">
        <v>500</v>
      </c>
      <c r="D652">
        <v>490</v>
      </c>
    </row>
    <row r="653" spans="1:4" x14ac:dyDescent="0.3">
      <c r="A653" t="s">
        <v>1957</v>
      </c>
      <c r="B653" t="s">
        <v>1988</v>
      </c>
      <c r="C653">
        <v>70</v>
      </c>
      <c r="D653">
        <v>62</v>
      </c>
    </row>
    <row r="654" spans="1:4" x14ac:dyDescent="0.3">
      <c r="A654" t="s">
        <v>1957</v>
      </c>
      <c r="B654" t="s">
        <v>1992</v>
      </c>
      <c r="C654">
        <v>30</v>
      </c>
      <c r="D654">
        <v>27</v>
      </c>
    </row>
    <row r="655" spans="1:4" x14ac:dyDescent="0.3">
      <c r="A655" t="s">
        <v>1957</v>
      </c>
      <c r="B655" t="s">
        <v>1987</v>
      </c>
      <c r="C655">
        <v>50</v>
      </c>
      <c r="D655">
        <v>48</v>
      </c>
    </row>
    <row r="656" spans="1:4" x14ac:dyDescent="0.3">
      <c r="A656" t="s">
        <v>1957</v>
      </c>
      <c r="B656" t="s">
        <v>1987</v>
      </c>
      <c r="C656">
        <v>50</v>
      </c>
      <c r="D656">
        <v>40</v>
      </c>
    </row>
    <row r="657" spans="1:4" x14ac:dyDescent="0.3">
      <c r="A657" t="s">
        <v>1957</v>
      </c>
      <c r="B657" t="s">
        <v>1985</v>
      </c>
      <c r="C657">
        <v>250</v>
      </c>
      <c r="D657">
        <v>250</v>
      </c>
    </row>
    <row r="658" spans="1:4" x14ac:dyDescent="0.3">
      <c r="A658" t="s">
        <v>1957</v>
      </c>
      <c r="B658" t="s">
        <v>1950</v>
      </c>
      <c r="C658">
        <v>1000</v>
      </c>
      <c r="D658">
        <v>620</v>
      </c>
    </row>
    <row r="659" spans="1:4" x14ac:dyDescent="0.3">
      <c r="A659" t="s">
        <v>1957</v>
      </c>
      <c r="B659" t="s">
        <v>1949</v>
      </c>
      <c r="C659">
        <v>700</v>
      </c>
      <c r="D659">
        <v>560</v>
      </c>
    </row>
    <row r="660" spans="1:4" x14ac:dyDescent="0.3">
      <c r="A660" t="s">
        <v>1957</v>
      </c>
      <c r="B660" t="s">
        <v>1991</v>
      </c>
      <c r="C660">
        <v>500</v>
      </c>
      <c r="D660">
        <v>395</v>
      </c>
    </row>
    <row r="661" spans="1:4" x14ac:dyDescent="0.3">
      <c r="A661" t="s">
        <v>1957</v>
      </c>
      <c r="B661" t="s">
        <v>1984</v>
      </c>
      <c r="C661">
        <v>80</v>
      </c>
      <c r="D661">
        <v>69</v>
      </c>
    </row>
    <row r="662" spans="1:4" x14ac:dyDescent="0.3">
      <c r="A662" t="s">
        <v>1957</v>
      </c>
      <c r="B662" t="s">
        <v>1950</v>
      </c>
      <c r="C662">
        <v>1000</v>
      </c>
      <c r="D662">
        <v>630</v>
      </c>
    </row>
    <row r="663" spans="1:4" x14ac:dyDescent="0.3">
      <c r="A663" t="s">
        <v>1957</v>
      </c>
      <c r="B663" t="s">
        <v>1991</v>
      </c>
      <c r="C663">
        <v>500</v>
      </c>
      <c r="D663">
        <v>190</v>
      </c>
    </row>
    <row r="664" spans="1:4" x14ac:dyDescent="0.3">
      <c r="A664" t="s">
        <v>1957</v>
      </c>
      <c r="B664" t="s">
        <v>1988</v>
      </c>
      <c r="C664">
        <v>70</v>
      </c>
      <c r="D664">
        <v>57</v>
      </c>
    </row>
    <row r="665" spans="1:4" x14ac:dyDescent="0.3">
      <c r="A665" t="s">
        <v>1957</v>
      </c>
      <c r="B665" t="s">
        <v>1988</v>
      </c>
      <c r="C665">
        <v>70</v>
      </c>
      <c r="D665">
        <v>50</v>
      </c>
    </row>
    <row r="666" spans="1:4" x14ac:dyDescent="0.3">
      <c r="A666" t="s">
        <v>1957</v>
      </c>
      <c r="B666" t="s">
        <v>1990</v>
      </c>
      <c r="C666">
        <v>50</v>
      </c>
      <c r="D666">
        <v>40</v>
      </c>
    </row>
    <row r="667" spans="1:4" x14ac:dyDescent="0.3">
      <c r="A667" t="s">
        <v>1957</v>
      </c>
      <c r="B667" t="s">
        <v>1992</v>
      </c>
      <c r="C667">
        <v>30</v>
      </c>
      <c r="D667">
        <v>26</v>
      </c>
    </row>
    <row r="668" spans="1:4" x14ac:dyDescent="0.3">
      <c r="A668" t="s">
        <v>1957</v>
      </c>
      <c r="B668" t="s">
        <v>1949</v>
      </c>
      <c r="C668">
        <v>700</v>
      </c>
      <c r="D668">
        <v>539</v>
      </c>
    </row>
    <row r="669" spans="1:4" x14ac:dyDescent="0.3">
      <c r="A669" t="s">
        <v>1957</v>
      </c>
      <c r="B669" t="s">
        <v>1992</v>
      </c>
      <c r="C669">
        <v>30</v>
      </c>
      <c r="D669">
        <v>28</v>
      </c>
    </row>
    <row r="670" spans="1:4" x14ac:dyDescent="0.3">
      <c r="A670" t="s">
        <v>1957</v>
      </c>
      <c r="B670" t="s">
        <v>1987</v>
      </c>
      <c r="C670">
        <v>50</v>
      </c>
      <c r="D670">
        <v>46</v>
      </c>
    </row>
    <row r="671" spans="1:4" x14ac:dyDescent="0.3">
      <c r="A671" t="s">
        <v>1957</v>
      </c>
      <c r="B671" t="s">
        <v>1992</v>
      </c>
      <c r="C671">
        <v>30</v>
      </c>
      <c r="D671">
        <v>27</v>
      </c>
    </row>
    <row r="672" spans="1:4" x14ac:dyDescent="0.3">
      <c r="A672" t="s">
        <v>1957</v>
      </c>
      <c r="B672" t="s">
        <v>1989</v>
      </c>
      <c r="C672">
        <v>150</v>
      </c>
      <c r="D672">
        <v>123</v>
      </c>
    </row>
    <row r="673" spans="1:4" x14ac:dyDescent="0.3">
      <c r="A673" t="s">
        <v>1957</v>
      </c>
      <c r="B673" t="s">
        <v>1985</v>
      </c>
      <c r="C673">
        <v>250</v>
      </c>
      <c r="D673">
        <v>235</v>
      </c>
    </row>
    <row r="674" spans="1:4" x14ac:dyDescent="0.3">
      <c r="A674" t="s">
        <v>1958</v>
      </c>
      <c r="B674" t="s">
        <v>1985</v>
      </c>
      <c r="C674">
        <v>250</v>
      </c>
      <c r="D674">
        <v>243</v>
      </c>
    </row>
    <row r="675" spans="1:4" x14ac:dyDescent="0.3">
      <c r="A675" t="s">
        <v>1958</v>
      </c>
      <c r="B675" t="s">
        <v>1949</v>
      </c>
      <c r="C675">
        <v>700</v>
      </c>
      <c r="D675">
        <v>637</v>
      </c>
    </row>
    <row r="676" spans="1:4" x14ac:dyDescent="0.3">
      <c r="A676" t="s">
        <v>1958</v>
      </c>
      <c r="B676" t="s">
        <v>1990</v>
      </c>
      <c r="C676">
        <v>50</v>
      </c>
      <c r="D676">
        <v>48</v>
      </c>
    </row>
    <row r="677" spans="1:4" x14ac:dyDescent="0.3">
      <c r="A677" t="s">
        <v>1958</v>
      </c>
      <c r="B677" t="s">
        <v>1991</v>
      </c>
      <c r="C677">
        <v>500</v>
      </c>
      <c r="D677">
        <v>455</v>
      </c>
    </row>
    <row r="678" spans="1:4" x14ac:dyDescent="0.3">
      <c r="A678" t="s">
        <v>1958</v>
      </c>
      <c r="B678" t="s">
        <v>1990</v>
      </c>
      <c r="C678">
        <v>50</v>
      </c>
      <c r="D678">
        <v>50</v>
      </c>
    </row>
    <row r="679" spans="1:4" x14ac:dyDescent="0.3">
      <c r="A679" t="s">
        <v>1958</v>
      </c>
      <c r="B679" t="s">
        <v>1985</v>
      </c>
      <c r="C679">
        <v>250</v>
      </c>
      <c r="D679">
        <v>233</v>
      </c>
    </row>
    <row r="680" spans="1:4" x14ac:dyDescent="0.3">
      <c r="A680" t="s">
        <v>1958</v>
      </c>
      <c r="B680" t="s">
        <v>1992</v>
      </c>
      <c r="C680">
        <v>30</v>
      </c>
      <c r="D680">
        <v>28</v>
      </c>
    </row>
    <row r="681" spans="1:4" x14ac:dyDescent="0.3">
      <c r="A681" t="s">
        <v>1958</v>
      </c>
      <c r="B681" t="s">
        <v>1990</v>
      </c>
      <c r="C681">
        <v>50</v>
      </c>
      <c r="D681">
        <v>43</v>
      </c>
    </row>
    <row r="682" spans="1:4" x14ac:dyDescent="0.3">
      <c r="A682" t="s">
        <v>1958</v>
      </c>
      <c r="B682" t="s">
        <v>1987</v>
      </c>
      <c r="C682">
        <v>50</v>
      </c>
      <c r="D682">
        <v>43</v>
      </c>
    </row>
    <row r="683" spans="1:4" x14ac:dyDescent="0.3">
      <c r="A683" t="s">
        <v>1958</v>
      </c>
      <c r="B683" t="s">
        <v>1989</v>
      </c>
      <c r="C683">
        <v>150</v>
      </c>
      <c r="D683">
        <v>143</v>
      </c>
    </row>
    <row r="684" spans="1:4" x14ac:dyDescent="0.3">
      <c r="A684" t="s">
        <v>1958</v>
      </c>
      <c r="B684" t="s">
        <v>1949</v>
      </c>
      <c r="C684">
        <v>700</v>
      </c>
      <c r="D684">
        <v>672</v>
      </c>
    </row>
    <row r="685" spans="1:4" x14ac:dyDescent="0.3">
      <c r="A685" t="s">
        <v>1958</v>
      </c>
      <c r="B685" t="s">
        <v>1989</v>
      </c>
      <c r="C685">
        <v>150</v>
      </c>
      <c r="D685">
        <v>138</v>
      </c>
    </row>
    <row r="686" spans="1:4" x14ac:dyDescent="0.3">
      <c r="A686" t="s">
        <v>1958</v>
      </c>
      <c r="B686" t="s">
        <v>1988</v>
      </c>
      <c r="C686">
        <v>70</v>
      </c>
      <c r="D686">
        <v>67</v>
      </c>
    </row>
    <row r="687" spans="1:4" x14ac:dyDescent="0.3">
      <c r="A687" t="s">
        <v>1958</v>
      </c>
      <c r="B687" t="s">
        <v>1986</v>
      </c>
      <c r="C687">
        <v>500</v>
      </c>
      <c r="D687">
        <v>500</v>
      </c>
    </row>
    <row r="688" spans="1:4" x14ac:dyDescent="0.3">
      <c r="A688" t="s">
        <v>1958</v>
      </c>
      <c r="B688" t="s">
        <v>1988</v>
      </c>
      <c r="C688">
        <v>70</v>
      </c>
      <c r="D688">
        <v>66</v>
      </c>
    </row>
    <row r="689" spans="1:4" x14ac:dyDescent="0.3">
      <c r="A689" t="s">
        <v>1958</v>
      </c>
      <c r="B689" t="s">
        <v>1987</v>
      </c>
      <c r="C689">
        <v>50</v>
      </c>
      <c r="D689">
        <v>47</v>
      </c>
    </row>
    <row r="690" spans="1:4" x14ac:dyDescent="0.3">
      <c r="A690" t="s">
        <v>1958</v>
      </c>
      <c r="B690" t="s">
        <v>1950</v>
      </c>
      <c r="C690">
        <v>1000</v>
      </c>
      <c r="D690">
        <v>520</v>
      </c>
    </row>
    <row r="691" spans="1:4" x14ac:dyDescent="0.3">
      <c r="A691" t="s">
        <v>1958</v>
      </c>
      <c r="B691" t="s">
        <v>1990</v>
      </c>
      <c r="C691">
        <v>50</v>
      </c>
      <c r="D691">
        <v>49</v>
      </c>
    </row>
    <row r="692" spans="1:4" x14ac:dyDescent="0.3">
      <c r="A692" t="s">
        <v>1958</v>
      </c>
      <c r="B692" t="s">
        <v>1988</v>
      </c>
      <c r="C692">
        <v>70</v>
      </c>
      <c r="D692">
        <v>69</v>
      </c>
    </row>
    <row r="693" spans="1:4" x14ac:dyDescent="0.3">
      <c r="A693" t="s">
        <v>1958</v>
      </c>
      <c r="B693" t="s">
        <v>1985</v>
      </c>
      <c r="C693">
        <v>250</v>
      </c>
      <c r="D693">
        <v>238</v>
      </c>
    </row>
    <row r="694" spans="1:4" x14ac:dyDescent="0.3">
      <c r="A694" t="s">
        <v>1958</v>
      </c>
      <c r="B694" t="s">
        <v>1991</v>
      </c>
      <c r="C694">
        <v>500</v>
      </c>
      <c r="D694">
        <v>480</v>
      </c>
    </row>
    <row r="695" spans="1:4" x14ac:dyDescent="0.3">
      <c r="A695" t="s">
        <v>1958</v>
      </c>
      <c r="B695" t="s">
        <v>1992</v>
      </c>
      <c r="C695">
        <v>30</v>
      </c>
      <c r="D695">
        <v>29</v>
      </c>
    </row>
    <row r="696" spans="1:4" x14ac:dyDescent="0.3">
      <c r="A696" t="s">
        <v>1958</v>
      </c>
      <c r="B696" t="s">
        <v>1992</v>
      </c>
      <c r="C696">
        <v>30</v>
      </c>
      <c r="D696">
        <v>28</v>
      </c>
    </row>
    <row r="697" spans="1:4" x14ac:dyDescent="0.3">
      <c r="A697" t="s">
        <v>1958</v>
      </c>
      <c r="B697" t="s">
        <v>1991</v>
      </c>
      <c r="C697">
        <v>500</v>
      </c>
      <c r="D697">
        <v>475</v>
      </c>
    </row>
    <row r="698" spans="1:4" x14ac:dyDescent="0.3">
      <c r="A698" t="s">
        <v>1958</v>
      </c>
      <c r="B698" t="s">
        <v>1986</v>
      </c>
      <c r="C698">
        <v>500</v>
      </c>
      <c r="D698">
        <v>495</v>
      </c>
    </row>
    <row r="699" spans="1:4" x14ac:dyDescent="0.3">
      <c r="A699" t="s">
        <v>1958</v>
      </c>
      <c r="B699" t="s">
        <v>1986</v>
      </c>
      <c r="C699">
        <v>500</v>
      </c>
      <c r="D699">
        <v>495</v>
      </c>
    </row>
    <row r="700" spans="1:4" x14ac:dyDescent="0.3">
      <c r="A700" t="s">
        <v>1958</v>
      </c>
      <c r="B700" t="s">
        <v>1988</v>
      </c>
      <c r="C700">
        <v>70</v>
      </c>
      <c r="D700">
        <v>67</v>
      </c>
    </row>
    <row r="701" spans="1:4" x14ac:dyDescent="0.3">
      <c r="A701" t="s">
        <v>1958</v>
      </c>
      <c r="B701" t="s">
        <v>1992</v>
      </c>
      <c r="C701">
        <v>30</v>
      </c>
      <c r="D701">
        <v>26</v>
      </c>
    </row>
    <row r="702" spans="1:4" x14ac:dyDescent="0.3">
      <c r="A702" t="s">
        <v>1958</v>
      </c>
      <c r="B702" t="s">
        <v>1988</v>
      </c>
      <c r="C702">
        <v>70</v>
      </c>
      <c r="D702">
        <v>64</v>
      </c>
    </row>
    <row r="703" spans="1:4" x14ac:dyDescent="0.3">
      <c r="A703" t="s">
        <v>1958</v>
      </c>
      <c r="B703" t="s">
        <v>1991</v>
      </c>
      <c r="C703">
        <v>500</v>
      </c>
      <c r="D703">
        <v>435</v>
      </c>
    </row>
    <row r="704" spans="1:4" x14ac:dyDescent="0.3">
      <c r="A704" t="s">
        <v>1958</v>
      </c>
      <c r="B704" t="s">
        <v>1984</v>
      </c>
      <c r="C704">
        <v>80</v>
      </c>
      <c r="D704">
        <v>68</v>
      </c>
    </row>
    <row r="705" spans="1:4" x14ac:dyDescent="0.3">
      <c r="A705" t="s">
        <v>1958</v>
      </c>
      <c r="B705" t="s">
        <v>1992</v>
      </c>
      <c r="C705">
        <v>30</v>
      </c>
      <c r="D705">
        <v>30</v>
      </c>
    </row>
    <row r="706" spans="1:4" x14ac:dyDescent="0.3">
      <c r="A706" t="s">
        <v>1958</v>
      </c>
      <c r="B706" t="s">
        <v>1948</v>
      </c>
      <c r="C706">
        <v>800</v>
      </c>
      <c r="D706">
        <v>592</v>
      </c>
    </row>
    <row r="707" spans="1:4" x14ac:dyDescent="0.3">
      <c r="A707" t="s">
        <v>1958</v>
      </c>
      <c r="B707" t="s">
        <v>1991</v>
      </c>
      <c r="C707">
        <v>500</v>
      </c>
      <c r="D707">
        <v>460</v>
      </c>
    </row>
    <row r="708" spans="1:4" x14ac:dyDescent="0.3">
      <c r="A708" t="s">
        <v>1958</v>
      </c>
      <c r="B708" t="s">
        <v>1988</v>
      </c>
      <c r="C708">
        <v>70</v>
      </c>
      <c r="D708">
        <v>57</v>
      </c>
    </row>
    <row r="709" spans="1:4" x14ac:dyDescent="0.3">
      <c r="A709" t="s">
        <v>1958</v>
      </c>
      <c r="B709" t="s">
        <v>1985</v>
      </c>
      <c r="C709">
        <v>250</v>
      </c>
      <c r="D709">
        <v>155</v>
      </c>
    </row>
    <row r="710" spans="1:4" x14ac:dyDescent="0.3">
      <c r="A710" t="s">
        <v>1958</v>
      </c>
      <c r="B710" t="s">
        <v>1984</v>
      </c>
      <c r="C710">
        <v>80</v>
      </c>
      <c r="D710">
        <v>53</v>
      </c>
    </row>
    <row r="711" spans="1:4" x14ac:dyDescent="0.3">
      <c r="A711" t="s">
        <v>1958</v>
      </c>
      <c r="B711" t="s">
        <v>1985</v>
      </c>
      <c r="C711">
        <v>250</v>
      </c>
      <c r="D711">
        <v>238</v>
      </c>
    </row>
    <row r="712" spans="1:4" x14ac:dyDescent="0.3">
      <c r="A712" t="s">
        <v>1958</v>
      </c>
      <c r="B712" t="s">
        <v>1985</v>
      </c>
      <c r="C712">
        <v>250</v>
      </c>
      <c r="D712">
        <v>200</v>
      </c>
    </row>
    <row r="713" spans="1:4" x14ac:dyDescent="0.3">
      <c r="A713" t="s">
        <v>1958</v>
      </c>
      <c r="B713" t="s">
        <v>1984</v>
      </c>
      <c r="C713">
        <v>80</v>
      </c>
      <c r="D713">
        <v>70</v>
      </c>
    </row>
    <row r="714" spans="1:4" x14ac:dyDescent="0.3">
      <c r="A714" t="s">
        <v>1958</v>
      </c>
      <c r="B714" t="s">
        <v>1988</v>
      </c>
      <c r="C714">
        <v>70</v>
      </c>
      <c r="D714">
        <v>62</v>
      </c>
    </row>
    <row r="715" spans="1:4" x14ac:dyDescent="0.3">
      <c r="A715" t="s">
        <v>1958</v>
      </c>
      <c r="B715" t="s">
        <v>1985</v>
      </c>
      <c r="C715">
        <v>250</v>
      </c>
      <c r="D715">
        <v>155</v>
      </c>
    </row>
    <row r="716" spans="1:4" x14ac:dyDescent="0.3">
      <c r="A716" t="s">
        <v>1958</v>
      </c>
      <c r="B716" t="s">
        <v>1985</v>
      </c>
      <c r="C716">
        <v>250</v>
      </c>
      <c r="D716">
        <v>225</v>
      </c>
    </row>
    <row r="717" spans="1:4" x14ac:dyDescent="0.3">
      <c r="A717" t="s">
        <v>1958</v>
      </c>
      <c r="B717" t="s">
        <v>1984</v>
      </c>
      <c r="C717">
        <v>80</v>
      </c>
      <c r="D717">
        <v>78</v>
      </c>
    </row>
    <row r="718" spans="1:4" x14ac:dyDescent="0.3">
      <c r="A718" t="s">
        <v>1958</v>
      </c>
      <c r="B718" t="s">
        <v>1991</v>
      </c>
      <c r="C718">
        <v>500</v>
      </c>
      <c r="D718">
        <v>485</v>
      </c>
    </row>
    <row r="719" spans="1:4" x14ac:dyDescent="0.3">
      <c r="A719" t="s">
        <v>1958</v>
      </c>
      <c r="B719" t="s">
        <v>1991</v>
      </c>
      <c r="C719">
        <v>500</v>
      </c>
      <c r="D719">
        <v>450</v>
      </c>
    </row>
    <row r="720" spans="1:4" x14ac:dyDescent="0.3">
      <c r="A720" t="s">
        <v>1958</v>
      </c>
      <c r="B720" t="s">
        <v>1992</v>
      </c>
      <c r="C720">
        <v>30</v>
      </c>
      <c r="D720">
        <v>26</v>
      </c>
    </row>
    <row r="721" spans="1:4" x14ac:dyDescent="0.3">
      <c r="A721" t="s">
        <v>1958</v>
      </c>
      <c r="B721" t="s">
        <v>1991</v>
      </c>
      <c r="C721">
        <v>500</v>
      </c>
      <c r="D721">
        <v>370</v>
      </c>
    </row>
    <row r="722" spans="1:4" x14ac:dyDescent="0.3">
      <c r="A722" t="s">
        <v>1958</v>
      </c>
      <c r="B722" t="s">
        <v>1949</v>
      </c>
      <c r="C722">
        <v>700</v>
      </c>
      <c r="D722">
        <v>581</v>
      </c>
    </row>
    <row r="723" spans="1:4" x14ac:dyDescent="0.3">
      <c r="A723" t="s">
        <v>1958</v>
      </c>
      <c r="B723" t="s">
        <v>1949</v>
      </c>
      <c r="C723">
        <v>700</v>
      </c>
      <c r="D723">
        <v>511</v>
      </c>
    </row>
    <row r="724" spans="1:4" x14ac:dyDescent="0.3">
      <c r="A724" t="s">
        <v>1958</v>
      </c>
      <c r="B724" t="s">
        <v>1989</v>
      </c>
      <c r="C724">
        <v>150</v>
      </c>
      <c r="D724">
        <v>137</v>
      </c>
    </row>
    <row r="725" spans="1:4" x14ac:dyDescent="0.3">
      <c r="A725" t="s">
        <v>1993</v>
      </c>
      <c r="B725" t="s">
        <v>1948</v>
      </c>
      <c r="C725">
        <v>800</v>
      </c>
      <c r="D725">
        <v>440</v>
      </c>
    </row>
    <row r="726" spans="1:4" x14ac:dyDescent="0.3">
      <c r="A726" t="s">
        <v>1993</v>
      </c>
      <c r="B726" t="s">
        <v>1948</v>
      </c>
      <c r="C726">
        <v>800</v>
      </c>
      <c r="D726">
        <v>456</v>
      </c>
    </row>
    <row r="727" spans="1:4" x14ac:dyDescent="0.3">
      <c r="A727" t="s">
        <v>1993</v>
      </c>
      <c r="B727" t="s">
        <v>1992</v>
      </c>
      <c r="C727">
        <v>30</v>
      </c>
      <c r="D727">
        <v>30</v>
      </c>
    </row>
    <row r="728" spans="1:4" x14ac:dyDescent="0.3">
      <c r="A728" t="s">
        <v>1993</v>
      </c>
      <c r="B728" t="s">
        <v>1989</v>
      </c>
      <c r="C728">
        <v>150</v>
      </c>
      <c r="D728">
        <v>150</v>
      </c>
    </row>
    <row r="729" spans="1:4" x14ac:dyDescent="0.3">
      <c r="A729" t="s">
        <v>1993</v>
      </c>
      <c r="B729" t="s">
        <v>1986</v>
      </c>
      <c r="C729">
        <v>500</v>
      </c>
      <c r="D729">
        <v>500</v>
      </c>
    </row>
    <row r="730" spans="1:4" x14ac:dyDescent="0.3">
      <c r="A730" t="s">
        <v>1993</v>
      </c>
      <c r="B730" t="s">
        <v>1990</v>
      </c>
      <c r="C730">
        <v>50</v>
      </c>
      <c r="D730">
        <v>50</v>
      </c>
    </row>
    <row r="731" spans="1:4" x14ac:dyDescent="0.3">
      <c r="A731" t="s">
        <v>1993</v>
      </c>
      <c r="B731" t="s">
        <v>1988</v>
      </c>
      <c r="C731">
        <v>70</v>
      </c>
      <c r="D731">
        <v>69</v>
      </c>
    </row>
    <row r="732" spans="1:4" x14ac:dyDescent="0.3">
      <c r="A732" t="s">
        <v>1993</v>
      </c>
      <c r="B732" t="s">
        <v>1992</v>
      </c>
      <c r="C732">
        <v>30</v>
      </c>
      <c r="D732">
        <v>30</v>
      </c>
    </row>
    <row r="733" spans="1:4" x14ac:dyDescent="0.3">
      <c r="A733" t="s">
        <v>1993</v>
      </c>
      <c r="B733" t="s">
        <v>1992</v>
      </c>
      <c r="C733">
        <v>30</v>
      </c>
      <c r="D733">
        <v>29</v>
      </c>
    </row>
    <row r="734" spans="1:4" x14ac:dyDescent="0.3">
      <c r="A734" t="s">
        <v>1993</v>
      </c>
      <c r="B734" t="s">
        <v>1991</v>
      </c>
      <c r="C734">
        <v>500</v>
      </c>
      <c r="D734">
        <v>465</v>
      </c>
    </row>
    <row r="735" spans="1:4" x14ac:dyDescent="0.3">
      <c r="A735" t="s">
        <v>1993</v>
      </c>
      <c r="B735" t="s">
        <v>1985</v>
      </c>
      <c r="C735">
        <v>250</v>
      </c>
      <c r="D735">
        <v>230</v>
      </c>
    </row>
    <row r="736" spans="1:4" x14ac:dyDescent="0.3">
      <c r="A736" t="s">
        <v>1993</v>
      </c>
      <c r="B736" t="s">
        <v>1948</v>
      </c>
      <c r="C736">
        <v>800</v>
      </c>
      <c r="D736">
        <v>520</v>
      </c>
    </row>
    <row r="737" spans="1:4" x14ac:dyDescent="0.3">
      <c r="A737" t="s">
        <v>1993</v>
      </c>
      <c r="B737" t="s">
        <v>1991</v>
      </c>
      <c r="C737">
        <v>500</v>
      </c>
      <c r="D737">
        <v>490</v>
      </c>
    </row>
    <row r="738" spans="1:4" x14ac:dyDescent="0.3">
      <c r="A738" t="s">
        <v>1993</v>
      </c>
      <c r="B738" t="s">
        <v>1950</v>
      </c>
      <c r="C738">
        <v>1000</v>
      </c>
      <c r="D738">
        <v>560</v>
      </c>
    </row>
    <row r="739" spans="1:4" x14ac:dyDescent="0.3">
      <c r="A739" t="s">
        <v>1993</v>
      </c>
      <c r="B739" t="s">
        <v>1988</v>
      </c>
      <c r="C739">
        <v>70</v>
      </c>
      <c r="D739">
        <v>64</v>
      </c>
    </row>
    <row r="740" spans="1:4" x14ac:dyDescent="0.3">
      <c r="A740" t="s">
        <v>1993</v>
      </c>
      <c r="B740" t="s">
        <v>1991</v>
      </c>
      <c r="C740">
        <v>500</v>
      </c>
      <c r="D740">
        <v>485</v>
      </c>
    </row>
    <row r="741" spans="1:4" x14ac:dyDescent="0.3">
      <c r="A741" t="s">
        <v>1993</v>
      </c>
      <c r="B741" t="s">
        <v>1988</v>
      </c>
      <c r="C741">
        <v>70</v>
      </c>
      <c r="D741">
        <v>67</v>
      </c>
    </row>
    <row r="742" spans="1:4" x14ac:dyDescent="0.3">
      <c r="A742" t="s">
        <v>1993</v>
      </c>
      <c r="B742" t="s">
        <v>1985</v>
      </c>
      <c r="C742">
        <v>250</v>
      </c>
      <c r="D742">
        <v>245</v>
      </c>
    </row>
    <row r="743" spans="1:4" x14ac:dyDescent="0.3">
      <c r="A743" t="s">
        <v>1993</v>
      </c>
      <c r="B743" t="s">
        <v>1986</v>
      </c>
      <c r="C743">
        <v>500</v>
      </c>
      <c r="D743">
        <v>500</v>
      </c>
    </row>
    <row r="744" spans="1:4" x14ac:dyDescent="0.3">
      <c r="A744" t="s">
        <v>1993</v>
      </c>
      <c r="B744" t="s">
        <v>1992</v>
      </c>
      <c r="C744">
        <v>30</v>
      </c>
      <c r="D744">
        <v>26</v>
      </c>
    </row>
    <row r="745" spans="1:4" x14ac:dyDescent="0.3">
      <c r="A745" t="s">
        <v>1993</v>
      </c>
      <c r="B745" t="s">
        <v>1991</v>
      </c>
      <c r="C745">
        <v>500</v>
      </c>
      <c r="D745">
        <v>465</v>
      </c>
    </row>
    <row r="746" spans="1:4" x14ac:dyDescent="0.3">
      <c r="A746" t="s">
        <v>1993</v>
      </c>
      <c r="B746" t="s">
        <v>1991</v>
      </c>
      <c r="C746">
        <v>500</v>
      </c>
      <c r="D746">
        <v>445</v>
      </c>
    </row>
    <row r="747" spans="1:4" x14ac:dyDescent="0.3">
      <c r="A747" t="s">
        <v>1993</v>
      </c>
      <c r="B747" t="s">
        <v>1992</v>
      </c>
      <c r="C747">
        <v>30</v>
      </c>
      <c r="D747">
        <v>27</v>
      </c>
    </row>
    <row r="748" spans="1:4" x14ac:dyDescent="0.3">
      <c r="A748" t="s">
        <v>1993</v>
      </c>
      <c r="B748" t="s">
        <v>1948</v>
      </c>
      <c r="C748">
        <v>800</v>
      </c>
      <c r="D748">
        <v>632</v>
      </c>
    </row>
    <row r="749" spans="1:4" x14ac:dyDescent="0.3">
      <c r="A749" t="s">
        <v>1993</v>
      </c>
      <c r="B749" t="s">
        <v>1989</v>
      </c>
      <c r="C749">
        <v>150</v>
      </c>
      <c r="D749">
        <v>98</v>
      </c>
    </row>
    <row r="750" spans="1:4" x14ac:dyDescent="0.3">
      <c r="A750" t="s">
        <v>1993</v>
      </c>
      <c r="B750" t="s">
        <v>1985</v>
      </c>
      <c r="C750">
        <v>250</v>
      </c>
      <c r="D750">
        <v>173</v>
      </c>
    </row>
    <row r="751" spans="1:4" x14ac:dyDescent="0.3">
      <c r="A751" t="s">
        <v>1993</v>
      </c>
      <c r="B751" t="s">
        <v>1989</v>
      </c>
      <c r="C751">
        <v>150</v>
      </c>
      <c r="D751">
        <v>110</v>
      </c>
    </row>
    <row r="752" spans="1:4" x14ac:dyDescent="0.3">
      <c r="A752" t="s">
        <v>1993</v>
      </c>
      <c r="B752" t="s">
        <v>1987</v>
      </c>
      <c r="C752">
        <v>50</v>
      </c>
      <c r="D752">
        <v>36</v>
      </c>
    </row>
    <row r="753" spans="1:4" x14ac:dyDescent="0.3">
      <c r="A753" t="s">
        <v>1993</v>
      </c>
      <c r="B753" t="s">
        <v>1984</v>
      </c>
      <c r="C753">
        <v>80</v>
      </c>
      <c r="D753">
        <v>70</v>
      </c>
    </row>
    <row r="754" spans="1:4" x14ac:dyDescent="0.3">
      <c r="A754" t="s">
        <v>1993</v>
      </c>
      <c r="B754" t="s">
        <v>1987</v>
      </c>
      <c r="C754">
        <v>50</v>
      </c>
      <c r="D754">
        <v>30</v>
      </c>
    </row>
    <row r="755" spans="1:4" x14ac:dyDescent="0.3">
      <c r="A755" t="s">
        <v>1993</v>
      </c>
      <c r="B755" t="s">
        <v>1988</v>
      </c>
      <c r="C755">
        <v>70</v>
      </c>
      <c r="D755">
        <v>67</v>
      </c>
    </row>
    <row r="756" spans="1:4" x14ac:dyDescent="0.3">
      <c r="A756" t="s">
        <v>1993</v>
      </c>
      <c r="B756" t="s">
        <v>1949</v>
      </c>
      <c r="C756">
        <v>700</v>
      </c>
      <c r="D756">
        <v>665</v>
      </c>
    </row>
    <row r="757" spans="1:4" x14ac:dyDescent="0.3">
      <c r="A757" t="s">
        <v>1993</v>
      </c>
      <c r="B757" t="s">
        <v>1986</v>
      </c>
      <c r="C757">
        <v>500</v>
      </c>
      <c r="D757">
        <v>500</v>
      </c>
    </row>
    <row r="758" spans="1:4" x14ac:dyDescent="0.3">
      <c r="A758" t="s">
        <v>1993</v>
      </c>
      <c r="B758" t="s">
        <v>1985</v>
      </c>
      <c r="C758">
        <v>250</v>
      </c>
      <c r="D758">
        <v>190</v>
      </c>
    </row>
    <row r="759" spans="1:4" x14ac:dyDescent="0.3">
      <c r="A759" t="s">
        <v>1993</v>
      </c>
      <c r="B759" t="s">
        <v>1987</v>
      </c>
      <c r="C759">
        <v>50</v>
      </c>
      <c r="D759">
        <v>48</v>
      </c>
    </row>
    <row r="760" spans="1:4" x14ac:dyDescent="0.3">
      <c r="A760" t="s">
        <v>1993</v>
      </c>
      <c r="B760" t="s">
        <v>1992</v>
      </c>
      <c r="C760">
        <v>30</v>
      </c>
      <c r="D760">
        <v>21</v>
      </c>
    </row>
    <row r="761" spans="1:4" x14ac:dyDescent="0.3">
      <c r="A761" t="s">
        <v>1993</v>
      </c>
      <c r="B761" t="s">
        <v>1949</v>
      </c>
      <c r="C761">
        <v>700</v>
      </c>
      <c r="D761">
        <v>504</v>
      </c>
    </row>
    <row r="762" spans="1:4" x14ac:dyDescent="0.3">
      <c r="A762" t="s">
        <v>1993</v>
      </c>
      <c r="B762" t="s">
        <v>1949</v>
      </c>
      <c r="C762">
        <v>700</v>
      </c>
      <c r="D762">
        <v>630</v>
      </c>
    </row>
    <row r="763" spans="1:4" x14ac:dyDescent="0.3">
      <c r="A763" t="s">
        <v>1993</v>
      </c>
      <c r="B763" t="s">
        <v>1984</v>
      </c>
      <c r="C763">
        <v>80</v>
      </c>
      <c r="D763">
        <v>60</v>
      </c>
    </row>
    <row r="764" spans="1:4" x14ac:dyDescent="0.3">
      <c r="A764" t="s">
        <v>1993</v>
      </c>
      <c r="B764" t="s">
        <v>1991</v>
      </c>
      <c r="C764">
        <v>500</v>
      </c>
      <c r="D764">
        <v>500</v>
      </c>
    </row>
    <row r="765" spans="1:4" x14ac:dyDescent="0.3">
      <c r="A765" t="s">
        <v>1993</v>
      </c>
      <c r="B765" t="s">
        <v>1986</v>
      </c>
      <c r="C765">
        <v>500</v>
      </c>
      <c r="D765">
        <v>490</v>
      </c>
    </row>
    <row r="766" spans="1:4" x14ac:dyDescent="0.3">
      <c r="A766" t="s">
        <v>1959</v>
      </c>
      <c r="B766" t="s">
        <v>1984</v>
      </c>
      <c r="C766">
        <v>80</v>
      </c>
      <c r="D766">
        <v>76</v>
      </c>
    </row>
    <row r="767" spans="1:4" x14ac:dyDescent="0.3">
      <c r="A767" t="s">
        <v>1959</v>
      </c>
      <c r="B767" t="s">
        <v>1984</v>
      </c>
      <c r="C767">
        <v>80</v>
      </c>
      <c r="D767">
        <v>72</v>
      </c>
    </row>
    <row r="768" spans="1:4" x14ac:dyDescent="0.3">
      <c r="A768" t="s">
        <v>1959</v>
      </c>
      <c r="B768" t="s">
        <v>1986</v>
      </c>
      <c r="C768">
        <v>500</v>
      </c>
      <c r="D768">
        <v>500</v>
      </c>
    </row>
    <row r="769" spans="1:4" x14ac:dyDescent="0.3">
      <c r="A769" t="s">
        <v>1959</v>
      </c>
      <c r="B769" t="s">
        <v>1988</v>
      </c>
      <c r="C769">
        <v>70</v>
      </c>
      <c r="D769">
        <v>67</v>
      </c>
    </row>
    <row r="770" spans="1:4" x14ac:dyDescent="0.3">
      <c r="A770" t="s">
        <v>1959</v>
      </c>
      <c r="B770" t="s">
        <v>1991</v>
      </c>
      <c r="C770">
        <v>500</v>
      </c>
      <c r="D770">
        <v>435</v>
      </c>
    </row>
    <row r="771" spans="1:4" x14ac:dyDescent="0.3">
      <c r="A771" t="s">
        <v>1959</v>
      </c>
      <c r="B771" t="s">
        <v>1989</v>
      </c>
      <c r="C771">
        <v>150</v>
      </c>
      <c r="D771">
        <v>129</v>
      </c>
    </row>
    <row r="772" spans="1:4" x14ac:dyDescent="0.3">
      <c r="A772" t="s">
        <v>1959</v>
      </c>
      <c r="B772" t="s">
        <v>1992</v>
      </c>
      <c r="C772">
        <v>30</v>
      </c>
      <c r="D772">
        <v>26</v>
      </c>
    </row>
    <row r="773" spans="1:4" x14ac:dyDescent="0.3">
      <c r="A773" t="s">
        <v>1959</v>
      </c>
      <c r="B773" t="s">
        <v>1987</v>
      </c>
      <c r="C773">
        <v>50</v>
      </c>
      <c r="D773">
        <v>50</v>
      </c>
    </row>
    <row r="774" spans="1:4" x14ac:dyDescent="0.3">
      <c r="A774" t="s">
        <v>1959</v>
      </c>
      <c r="B774" t="s">
        <v>1991</v>
      </c>
      <c r="C774">
        <v>500</v>
      </c>
      <c r="D774">
        <v>480</v>
      </c>
    </row>
    <row r="775" spans="1:4" x14ac:dyDescent="0.3">
      <c r="A775" t="s">
        <v>1959</v>
      </c>
      <c r="B775" t="s">
        <v>1992</v>
      </c>
      <c r="C775">
        <v>30</v>
      </c>
      <c r="D775">
        <v>29</v>
      </c>
    </row>
    <row r="776" spans="1:4" x14ac:dyDescent="0.3">
      <c r="A776" t="s">
        <v>1959</v>
      </c>
      <c r="B776" t="s">
        <v>1989</v>
      </c>
      <c r="C776">
        <v>150</v>
      </c>
      <c r="D776">
        <v>131</v>
      </c>
    </row>
    <row r="777" spans="1:4" x14ac:dyDescent="0.3">
      <c r="A777" t="s">
        <v>1959</v>
      </c>
      <c r="B777" t="s">
        <v>1989</v>
      </c>
      <c r="C777">
        <v>150</v>
      </c>
      <c r="D777">
        <v>143</v>
      </c>
    </row>
    <row r="778" spans="1:4" x14ac:dyDescent="0.3">
      <c r="A778" t="s">
        <v>1959</v>
      </c>
      <c r="B778" t="s">
        <v>1985</v>
      </c>
      <c r="C778">
        <v>250</v>
      </c>
      <c r="D778">
        <v>240</v>
      </c>
    </row>
    <row r="779" spans="1:4" x14ac:dyDescent="0.3">
      <c r="A779" t="s">
        <v>1959</v>
      </c>
      <c r="B779" t="s">
        <v>1986</v>
      </c>
      <c r="C779">
        <v>500</v>
      </c>
      <c r="D779">
        <v>490</v>
      </c>
    </row>
    <row r="780" spans="1:4" x14ac:dyDescent="0.3">
      <c r="A780" t="s">
        <v>1959</v>
      </c>
      <c r="B780" t="s">
        <v>1992</v>
      </c>
      <c r="C780">
        <v>30</v>
      </c>
      <c r="D780">
        <v>26</v>
      </c>
    </row>
    <row r="781" spans="1:4" x14ac:dyDescent="0.3">
      <c r="A781" t="s">
        <v>1959</v>
      </c>
      <c r="B781" t="s">
        <v>1989</v>
      </c>
      <c r="C781">
        <v>150</v>
      </c>
      <c r="D781">
        <v>138</v>
      </c>
    </row>
    <row r="782" spans="1:4" x14ac:dyDescent="0.3">
      <c r="A782" t="s">
        <v>1959</v>
      </c>
      <c r="B782" t="s">
        <v>1991</v>
      </c>
      <c r="C782">
        <v>500</v>
      </c>
      <c r="D782">
        <v>445</v>
      </c>
    </row>
    <row r="783" spans="1:4" x14ac:dyDescent="0.3">
      <c r="A783" t="s">
        <v>1959</v>
      </c>
      <c r="B783" t="s">
        <v>1949</v>
      </c>
      <c r="C783">
        <v>700</v>
      </c>
      <c r="D783">
        <v>644</v>
      </c>
    </row>
    <row r="784" spans="1:4" x14ac:dyDescent="0.3">
      <c r="A784" t="s">
        <v>1959</v>
      </c>
      <c r="B784" t="s">
        <v>1985</v>
      </c>
      <c r="C784">
        <v>250</v>
      </c>
      <c r="D784">
        <v>223</v>
      </c>
    </row>
    <row r="785" spans="1:4" x14ac:dyDescent="0.3">
      <c r="A785" t="s">
        <v>1959</v>
      </c>
      <c r="B785" t="s">
        <v>1989</v>
      </c>
      <c r="C785">
        <v>150</v>
      </c>
      <c r="D785">
        <v>128</v>
      </c>
    </row>
    <row r="786" spans="1:4" x14ac:dyDescent="0.3">
      <c r="A786" t="s">
        <v>1959</v>
      </c>
      <c r="B786" t="s">
        <v>1990</v>
      </c>
      <c r="C786">
        <v>50</v>
      </c>
      <c r="D786">
        <v>43</v>
      </c>
    </row>
    <row r="787" spans="1:4" x14ac:dyDescent="0.3">
      <c r="A787" t="s">
        <v>1959</v>
      </c>
      <c r="B787" t="s">
        <v>1948</v>
      </c>
      <c r="C787">
        <v>800</v>
      </c>
      <c r="D787">
        <v>480</v>
      </c>
    </row>
    <row r="788" spans="1:4" x14ac:dyDescent="0.3">
      <c r="A788" t="s">
        <v>1959</v>
      </c>
      <c r="B788" t="s">
        <v>1984</v>
      </c>
      <c r="C788">
        <v>80</v>
      </c>
      <c r="D788">
        <v>80</v>
      </c>
    </row>
    <row r="789" spans="1:4" x14ac:dyDescent="0.3">
      <c r="A789" t="s">
        <v>1959</v>
      </c>
      <c r="B789" t="s">
        <v>1988</v>
      </c>
      <c r="C789">
        <v>70</v>
      </c>
      <c r="D789">
        <v>64</v>
      </c>
    </row>
    <row r="790" spans="1:4" x14ac:dyDescent="0.3">
      <c r="A790" t="s">
        <v>1959</v>
      </c>
      <c r="B790" t="s">
        <v>1987</v>
      </c>
      <c r="C790">
        <v>50</v>
      </c>
      <c r="D790">
        <v>48</v>
      </c>
    </row>
    <row r="791" spans="1:4" x14ac:dyDescent="0.3">
      <c r="A791" t="s">
        <v>1959</v>
      </c>
      <c r="B791" t="s">
        <v>1950</v>
      </c>
      <c r="C791">
        <v>1000</v>
      </c>
      <c r="D791">
        <v>500</v>
      </c>
    </row>
    <row r="792" spans="1:4" x14ac:dyDescent="0.3">
      <c r="A792" t="s">
        <v>1959</v>
      </c>
      <c r="B792" t="s">
        <v>1948</v>
      </c>
      <c r="C792">
        <v>800</v>
      </c>
      <c r="D792">
        <v>608</v>
      </c>
    </row>
    <row r="793" spans="1:4" x14ac:dyDescent="0.3">
      <c r="A793" t="s">
        <v>1959</v>
      </c>
      <c r="B793" t="s">
        <v>1984</v>
      </c>
      <c r="C793">
        <v>80</v>
      </c>
      <c r="D793">
        <v>78</v>
      </c>
    </row>
    <row r="794" spans="1:4" x14ac:dyDescent="0.3">
      <c r="A794" t="s">
        <v>1959</v>
      </c>
      <c r="B794" t="s">
        <v>1992</v>
      </c>
      <c r="C794">
        <v>30</v>
      </c>
      <c r="D794">
        <v>29</v>
      </c>
    </row>
    <row r="795" spans="1:4" x14ac:dyDescent="0.3">
      <c r="A795" t="s">
        <v>1959</v>
      </c>
      <c r="B795" t="s">
        <v>1950</v>
      </c>
      <c r="C795">
        <v>1000</v>
      </c>
      <c r="D795">
        <v>570</v>
      </c>
    </row>
    <row r="796" spans="1:4" x14ac:dyDescent="0.3">
      <c r="A796" t="s">
        <v>1959</v>
      </c>
      <c r="B796" t="s">
        <v>1988</v>
      </c>
      <c r="C796">
        <v>70</v>
      </c>
      <c r="D796">
        <v>63</v>
      </c>
    </row>
    <row r="797" spans="1:4" x14ac:dyDescent="0.3">
      <c r="A797" t="s">
        <v>1959</v>
      </c>
      <c r="B797" t="s">
        <v>1985</v>
      </c>
      <c r="C797">
        <v>250</v>
      </c>
      <c r="D797">
        <v>225</v>
      </c>
    </row>
    <row r="798" spans="1:4" x14ac:dyDescent="0.3">
      <c r="A798" t="s">
        <v>1959</v>
      </c>
      <c r="B798" t="s">
        <v>1986</v>
      </c>
      <c r="C798">
        <v>500</v>
      </c>
      <c r="D798">
        <v>490</v>
      </c>
    </row>
    <row r="799" spans="1:4" x14ac:dyDescent="0.3">
      <c r="A799" t="s">
        <v>1959</v>
      </c>
      <c r="B799" t="s">
        <v>1985</v>
      </c>
      <c r="C799">
        <v>250</v>
      </c>
      <c r="D799">
        <v>238</v>
      </c>
    </row>
    <row r="800" spans="1:4" x14ac:dyDescent="0.3">
      <c r="A800" t="s">
        <v>1959</v>
      </c>
      <c r="B800" t="s">
        <v>1948</v>
      </c>
      <c r="C800">
        <v>800</v>
      </c>
      <c r="D800">
        <v>448</v>
      </c>
    </row>
    <row r="801" spans="1:4" x14ac:dyDescent="0.3">
      <c r="A801" t="s">
        <v>1959</v>
      </c>
      <c r="B801" t="s">
        <v>1948</v>
      </c>
      <c r="C801">
        <v>800</v>
      </c>
      <c r="D801">
        <v>472</v>
      </c>
    </row>
    <row r="802" spans="1:4" x14ac:dyDescent="0.3">
      <c r="A802" t="s">
        <v>1959</v>
      </c>
      <c r="B802" t="s">
        <v>1984</v>
      </c>
      <c r="C802">
        <v>80</v>
      </c>
      <c r="D802">
        <v>75</v>
      </c>
    </row>
    <row r="803" spans="1:4" x14ac:dyDescent="0.3">
      <c r="A803" t="s">
        <v>1959</v>
      </c>
      <c r="B803" t="s">
        <v>1948</v>
      </c>
      <c r="C803">
        <v>800</v>
      </c>
      <c r="D803">
        <v>592</v>
      </c>
    </row>
    <row r="804" spans="1:4" x14ac:dyDescent="0.3">
      <c r="A804" t="s">
        <v>1959</v>
      </c>
      <c r="B804" t="s">
        <v>1986</v>
      </c>
      <c r="C804">
        <v>500</v>
      </c>
      <c r="D804">
        <v>495</v>
      </c>
    </row>
    <row r="805" spans="1:4" x14ac:dyDescent="0.3">
      <c r="A805" t="s">
        <v>1959</v>
      </c>
      <c r="B805" t="s">
        <v>1990</v>
      </c>
      <c r="C805">
        <v>50</v>
      </c>
      <c r="D805">
        <v>47</v>
      </c>
    </row>
    <row r="806" spans="1:4" x14ac:dyDescent="0.3">
      <c r="A806" t="s">
        <v>1959</v>
      </c>
      <c r="B806" t="s">
        <v>1984</v>
      </c>
      <c r="C806">
        <v>80</v>
      </c>
      <c r="D806">
        <v>79</v>
      </c>
    </row>
    <row r="807" spans="1:4" x14ac:dyDescent="0.3">
      <c r="A807" t="s">
        <v>1959</v>
      </c>
      <c r="B807" t="s">
        <v>1949</v>
      </c>
      <c r="C807">
        <v>700</v>
      </c>
      <c r="D807">
        <v>595</v>
      </c>
    </row>
    <row r="808" spans="1:4" x14ac:dyDescent="0.3">
      <c r="A808" t="s">
        <v>1959</v>
      </c>
      <c r="B808" t="s">
        <v>1985</v>
      </c>
      <c r="C808">
        <v>250</v>
      </c>
      <c r="D808">
        <v>230</v>
      </c>
    </row>
    <row r="809" spans="1:4" x14ac:dyDescent="0.3">
      <c r="A809" t="s">
        <v>1959</v>
      </c>
      <c r="B809" t="s">
        <v>1985</v>
      </c>
      <c r="C809">
        <v>250</v>
      </c>
      <c r="D809">
        <v>240</v>
      </c>
    </row>
    <row r="810" spans="1:4" x14ac:dyDescent="0.3">
      <c r="A810" t="s">
        <v>1959</v>
      </c>
      <c r="B810" t="s">
        <v>1986</v>
      </c>
      <c r="C810">
        <v>500</v>
      </c>
      <c r="D810">
        <v>490</v>
      </c>
    </row>
    <row r="811" spans="1:4" x14ac:dyDescent="0.3">
      <c r="A811" t="s">
        <v>1959</v>
      </c>
      <c r="B811" t="s">
        <v>1948</v>
      </c>
      <c r="C811">
        <v>800</v>
      </c>
      <c r="D811">
        <v>648</v>
      </c>
    </row>
    <row r="812" spans="1:4" x14ac:dyDescent="0.3">
      <c r="A812" t="s">
        <v>1959</v>
      </c>
      <c r="B812" t="s">
        <v>1984</v>
      </c>
      <c r="C812">
        <v>80</v>
      </c>
      <c r="D812">
        <v>79</v>
      </c>
    </row>
    <row r="813" spans="1:4" x14ac:dyDescent="0.3">
      <c r="A813" t="s">
        <v>1959</v>
      </c>
      <c r="B813" t="s">
        <v>1992</v>
      </c>
      <c r="C813">
        <v>30</v>
      </c>
      <c r="D813">
        <v>29</v>
      </c>
    </row>
    <row r="814" spans="1:4" x14ac:dyDescent="0.3">
      <c r="A814" t="s">
        <v>1959</v>
      </c>
      <c r="B814" t="s">
        <v>1949</v>
      </c>
      <c r="C814">
        <v>700</v>
      </c>
      <c r="D814">
        <v>602</v>
      </c>
    </row>
    <row r="815" spans="1:4" x14ac:dyDescent="0.3">
      <c r="A815" t="s">
        <v>1959</v>
      </c>
      <c r="B815" t="s">
        <v>1988</v>
      </c>
      <c r="C815">
        <v>70</v>
      </c>
      <c r="D815">
        <v>68</v>
      </c>
    </row>
    <row r="816" spans="1:4" x14ac:dyDescent="0.3">
      <c r="A816" t="s">
        <v>1959</v>
      </c>
      <c r="B816" t="s">
        <v>1984</v>
      </c>
      <c r="C816">
        <v>80</v>
      </c>
      <c r="D816">
        <v>76</v>
      </c>
    </row>
    <row r="817" spans="1:4" x14ac:dyDescent="0.3">
      <c r="A817" t="s">
        <v>1959</v>
      </c>
      <c r="B817" t="s">
        <v>1986</v>
      </c>
      <c r="C817">
        <v>500</v>
      </c>
      <c r="D817">
        <v>500</v>
      </c>
    </row>
    <row r="818" spans="1:4" x14ac:dyDescent="0.3">
      <c r="A818" t="s">
        <v>1959</v>
      </c>
      <c r="B818" t="s">
        <v>1984</v>
      </c>
      <c r="C818">
        <v>80</v>
      </c>
      <c r="D818">
        <v>78</v>
      </c>
    </row>
    <row r="819" spans="1:4" x14ac:dyDescent="0.3">
      <c r="A819" t="s">
        <v>1959</v>
      </c>
      <c r="B819" t="s">
        <v>1990</v>
      </c>
      <c r="C819">
        <v>50</v>
      </c>
      <c r="D819">
        <v>45</v>
      </c>
    </row>
    <row r="820" spans="1:4" x14ac:dyDescent="0.3">
      <c r="A820" t="s">
        <v>1959</v>
      </c>
      <c r="B820" t="s">
        <v>1950</v>
      </c>
      <c r="C820">
        <v>1000</v>
      </c>
      <c r="D820">
        <v>510</v>
      </c>
    </row>
    <row r="821" spans="1:4" x14ac:dyDescent="0.3">
      <c r="A821" t="s">
        <v>1959</v>
      </c>
      <c r="B821" t="s">
        <v>1992</v>
      </c>
      <c r="C821">
        <v>30</v>
      </c>
      <c r="D821">
        <v>30</v>
      </c>
    </row>
    <row r="822" spans="1:4" x14ac:dyDescent="0.3">
      <c r="A822" t="s">
        <v>1959</v>
      </c>
      <c r="B822" t="s">
        <v>1992</v>
      </c>
      <c r="C822">
        <v>30</v>
      </c>
      <c r="D822">
        <v>28</v>
      </c>
    </row>
    <row r="823" spans="1:4" x14ac:dyDescent="0.3">
      <c r="A823" t="s">
        <v>1959</v>
      </c>
      <c r="B823" t="s">
        <v>1949</v>
      </c>
      <c r="C823">
        <v>700</v>
      </c>
      <c r="D823">
        <v>665</v>
      </c>
    </row>
    <row r="824" spans="1:4" x14ac:dyDescent="0.3">
      <c r="A824" t="s">
        <v>1959</v>
      </c>
      <c r="B824" t="s">
        <v>1987</v>
      </c>
      <c r="C824">
        <v>50</v>
      </c>
      <c r="D824">
        <v>33</v>
      </c>
    </row>
    <row r="825" spans="1:4" x14ac:dyDescent="0.3">
      <c r="A825" t="s">
        <v>1959</v>
      </c>
      <c r="B825" t="s">
        <v>1949</v>
      </c>
      <c r="C825">
        <v>700</v>
      </c>
      <c r="D825">
        <v>567</v>
      </c>
    </row>
    <row r="826" spans="1:4" x14ac:dyDescent="0.3">
      <c r="A826" t="s">
        <v>1959</v>
      </c>
      <c r="B826" t="s">
        <v>1992</v>
      </c>
      <c r="C826">
        <v>30</v>
      </c>
      <c r="D826">
        <v>28</v>
      </c>
    </row>
    <row r="827" spans="1:4" x14ac:dyDescent="0.3">
      <c r="A827" t="s">
        <v>1959</v>
      </c>
      <c r="B827" t="s">
        <v>1992</v>
      </c>
      <c r="C827">
        <v>30</v>
      </c>
      <c r="D827">
        <v>23</v>
      </c>
    </row>
    <row r="828" spans="1:4" x14ac:dyDescent="0.3">
      <c r="A828" t="s">
        <v>1959</v>
      </c>
      <c r="B828" t="s">
        <v>1989</v>
      </c>
      <c r="C828">
        <v>150</v>
      </c>
      <c r="D828">
        <v>126</v>
      </c>
    </row>
    <row r="829" spans="1:4" x14ac:dyDescent="0.3">
      <c r="A829" t="s">
        <v>1959</v>
      </c>
      <c r="B829" t="s">
        <v>1989</v>
      </c>
      <c r="C829">
        <v>150</v>
      </c>
      <c r="D829">
        <v>98</v>
      </c>
    </row>
    <row r="830" spans="1:4" x14ac:dyDescent="0.3">
      <c r="A830" t="s">
        <v>1959</v>
      </c>
      <c r="B830" t="s">
        <v>1949</v>
      </c>
      <c r="C830">
        <v>700</v>
      </c>
      <c r="D830">
        <v>560</v>
      </c>
    </row>
    <row r="831" spans="1:4" x14ac:dyDescent="0.3">
      <c r="A831" t="s">
        <v>1959</v>
      </c>
      <c r="B831" t="s">
        <v>1948</v>
      </c>
      <c r="C831">
        <v>800</v>
      </c>
      <c r="D831">
        <v>480</v>
      </c>
    </row>
    <row r="832" spans="1:4" x14ac:dyDescent="0.3">
      <c r="A832" t="s">
        <v>1959</v>
      </c>
      <c r="B832" t="s">
        <v>1949</v>
      </c>
      <c r="C832">
        <v>700</v>
      </c>
      <c r="D832">
        <v>525</v>
      </c>
    </row>
    <row r="833" spans="1:4" x14ac:dyDescent="0.3">
      <c r="A833" t="s">
        <v>1959</v>
      </c>
      <c r="B833" t="s">
        <v>1992</v>
      </c>
      <c r="C833">
        <v>30</v>
      </c>
      <c r="D833">
        <v>28</v>
      </c>
    </row>
    <row r="834" spans="1:4" x14ac:dyDescent="0.3">
      <c r="A834" t="s">
        <v>1959</v>
      </c>
      <c r="B834" t="s">
        <v>1985</v>
      </c>
      <c r="C834">
        <v>250</v>
      </c>
      <c r="D834">
        <v>190</v>
      </c>
    </row>
    <row r="835" spans="1:4" x14ac:dyDescent="0.3">
      <c r="A835" t="s">
        <v>1959</v>
      </c>
      <c r="B835" t="s">
        <v>1984</v>
      </c>
      <c r="C835">
        <v>80</v>
      </c>
      <c r="D835">
        <v>49</v>
      </c>
    </row>
    <row r="836" spans="1:4" x14ac:dyDescent="0.3">
      <c r="A836" t="s">
        <v>1959</v>
      </c>
      <c r="B836" t="s">
        <v>1991</v>
      </c>
      <c r="C836">
        <v>500</v>
      </c>
      <c r="D836">
        <v>465</v>
      </c>
    </row>
    <row r="837" spans="1:4" x14ac:dyDescent="0.3">
      <c r="A837" t="s">
        <v>1959</v>
      </c>
      <c r="B837" t="s">
        <v>1986</v>
      </c>
      <c r="C837">
        <v>500</v>
      </c>
      <c r="D837">
        <v>500</v>
      </c>
    </row>
    <row r="838" spans="1:4" x14ac:dyDescent="0.3">
      <c r="A838" t="s">
        <v>1959</v>
      </c>
      <c r="B838" t="s">
        <v>1987</v>
      </c>
      <c r="C838">
        <v>50</v>
      </c>
      <c r="D838">
        <v>50</v>
      </c>
    </row>
    <row r="839" spans="1:4" x14ac:dyDescent="0.3">
      <c r="A839" t="s">
        <v>1959</v>
      </c>
      <c r="B839" t="s">
        <v>1948</v>
      </c>
      <c r="C839">
        <v>800</v>
      </c>
      <c r="D839">
        <v>608</v>
      </c>
    </row>
    <row r="840" spans="1:4" x14ac:dyDescent="0.3">
      <c r="A840" t="s">
        <v>1959</v>
      </c>
      <c r="B840" t="s">
        <v>1990</v>
      </c>
      <c r="C840">
        <v>50</v>
      </c>
      <c r="D840">
        <v>38</v>
      </c>
    </row>
    <row r="841" spans="1:4" x14ac:dyDescent="0.3">
      <c r="A841" t="s">
        <v>1959</v>
      </c>
      <c r="B841" t="s">
        <v>1986</v>
      </c>
      <c r="C841">
        <v>500</v>
      </c>
      <c r="D841">
        <v>500</v>
      </c>
    </row>
    <row r="842" spans="1:4" x14ac:dyDescent="0.3">
      <c r="A842" t="s">
        <v>1959</v>
      </c>
      <c r="B842" t="s">
        <v>1986</v>
      </c>
      <c r="C842">
        <v>500</v>
      </c>
      <c r="D842">
        <v>490</v>
      </c>
    </row>
    <row r="843" spans="1:4" x14ac:dyDescent="0.3">
      <c r="A843" t="s">
        <v>1959</v>
      </c>
      <c r="B843" t="s">
        <v>1948</v>
      </c>
      <c r="C843">
        <v>800</v>
      </c>
      <c r="D843">
        <v>488</v>
      </c>
    </row>
    <row r="844" spans="1:4" x14ac:dyDescent="0.3">
      <c r="A844" t="s">
        <v>1959</v>
      </c>
      <c r="B844" t="s">
        <v>1990</v>
      </c>
      <c r="C844">
        <v>50</v>
      </c>
      <c r="D844">
        <v>50</v>
      </c>
    </row>
    <row r="845" spans="1:4" x14ac:dyDescent="0.3">
      <c r="A845" t="s">
        <v>1959</v>
      </c>
      <c r="B845" t="s">
        <v>1984</v>
      </c>
      <c r="C845">
        <v>80</v>
      </c>
      <c r="D845">
        <v>76</v>
      </c>
    </row>
    <row r="846" spans="1:4" x14ac:dyDescent="0.3">
      <c r="A846" t="s">
        <v>1959</v>
      </c>
      <c r="B846" t="s">
        <v>1986</v>
      </c>
      <c r="C846">
        <v>500</v>
      </c>
      <c r="D846">
        <v>500</v>
      </c>
    </row>
    <row r="847" spans="1:4" x14ac:dyDescent="0.3">
      <c r="A847" t="s">
        <v>1959</v>
      </c>
      <c r="B847" t="s">
        <v>1950</v>
      </c>
      <c r="C847">
        <v>1000</v>
      </c>
      <c r="D847">
        <v>500</v>
      </c>
    </row>
    <row r="848" spans="1:4" x14ac:dyDescent="0.3">
      <c r="A848" t="s">
        <v>1959</v>
      </c>
      <c r="B848" t="s">
        <v>1985</v>
      </c>
      <c r="C848">
        <v>250</v>
      </c>
      <c r="D848">
        <v>220</v>
      </c>
    </row>
    <row r="849" spans="1:4" x14ac:dyDescent="0.3">
      <c r="A849" t="s">
        <v>1959</v>
      </c>
      <c r="B849" t="s">
        <v>1991</v>
      </c>
      <c r="C849">
        <v>500</v>
      </c>
      <c r="D849">
        <v>425</v>
      </c>
    </row>
    <row r="850" spans="1:4" x14ac:dyDescent="0.3">
      <c r="A850" t="s">
        <v>1959</v>
      </c>
      <c r="B850" t="s">
        <v>1948</v>
      </c>
      <c r="C850">
        <v>800</v>
      </c>
      <c r="D850">
        <v>472</v>
      </c>
    </row>
    <row r="851" spans="1:4" x14ac:dyDescent="0.3">
      <c r="A851" t="s">
        <v>1959</v>
      </c>
      <c r="B851" t="s">
        <v>1948</v>
      </c>
      <c r="C851">
        <v>800</v>
      </c>
      <c r="D851">
        <v>656</v>
      </c>
    </row>
    <row r="852" spans="1:4" x14ac:dyDescent="0.3">
      <c r="A852" t="s">
        <v>1959</v>
      </c>
      <c r="B852" t="s">
        <v>1990</v>
      </c>
      <c r="C852">
        <v>50</v>
      </c>
      <c r="D852">
        <v>42</v>
      </c>
    </row>
    <row r="853" spans="1:4" x14ac:dyDescent="0.3">
      <c r="A853" t="s">
        <v>1959</v>
      </c>
      <c r="B853" t="s">
        <v>1991</v>
      </c>
      <c r="C853">
        <v>500</v>
      </c>
      <c r="D853">
        <v>455</v>
      </c>
    </row>
    <row r="854" spans="1:4" x14ac:dyDescent="0.3">
      <c r="A854" t="s">
        <v>1959</v>
      </c>
      <c r="B854" t="s">
        <v>1949</v>
      </c>
      <c r="C854">
        <v>700</v>
      </c>
      <c r="D854">
        <v>644</v>
      </c>
    </row>
    <row r="855" spans="1:4" x14ac:dyDescent="0.3">
      <c r="A855" t="s">
        <v>1959</v>
      </c>
      <c r="B855" t="s">
        <v>1986</v>
      </c>
      <c r="C855">
        <v>500</v>
      </c>
      <c r="D855">
        <v>490</v>
      </c>
    </row>
    <row r="856" spans="1:4" x14ac:dyDescent="0.3">
      <c r="A856" t="s">
        <v>1959</v>
      </c>
      <c r="B856" t="s">
        <v>1992</v>
      </c>
      <c r="C856">
        <v>30</v>
      </c>
      <c r="D856">
        <v>23</v>
      </c>
    </row>
    <row r="857" spans="1:4" x14ac:dyDescent="0.3">
      <c r="A857" t="s">
        <v>1959</v>
      </c>
      <c r="B857" t="s">
        <v>1992</v>
      </c>
      <c r="C857">
        <v>30</v>
      </c>
      <c r="D857">
        <v>25</v>
      </c>
    </row>
    <row r="858" spans="1:4" x14ac:dyDescent="0.3">
      <c r="A858" t="s">
        <v>1959</v>
      </c>
      <c r="B858" t="s">
        <v>1989</v>
      </c>
      <c r="C858">
        <v>150</v>
      </c>
      <c r="D858">
        <v>149</v>
      </c>
    </row>
    <row r="859" spans="1:4" x14ac:dyDescent="0.3">
      <c r="A859" t="s">
        <v>1959</v>
      </c>
      <c r="B859" t="s">
        <v>1948</v>
      </c>
      <c r="C859">
        <v>800</v>
      </c>
      <c r="D859">
        <v>608</v>
      </c>
    </row>
    <row r="860" spans="1:4" x14ac:dyDescent="0.3">
      <c r="A860" t="s">
        <v>1959</v>
      </c>
      <c r="B860" t="s">
        <v>1986</v>
      </c>
      <c r="C860">
        <v>500</v>
      </c>
      <c r="D860">
        <v>500</v>
      </c>
    </row>
    <row r="861" spans="1:4" x14ac:dyDescent="0.3">
      <c r="A861" t="s">
        <v>1959</v>
      </c>
      <c r="B861" t="s">
        <v>1992</v>
      </c>
      <c r="C861">
        <v>30</v>
      </c>
      <c r="D861">
        <v>23</v>
      </c>
    </row>
    <row r="862" spans="1:4" x14ac:dyDescent="0.3">
      <c r="A862" t="s">
        <v>1960</v>
      </c>
      <c r="B862" t="s">
        <v>1949</v>
      </c>
      <c r="C862">
        <v>700</v>
      </c>
      <c r="D862">
        <v>609</v>
      </c>
    </row>
    <row r="863" spans="1:4" x14ac:dyDescent="0.3">
      <c r="A863" t="s">
        <v>1960</v>
      </c>
      <c r="B863" t="s">
        <v>1991</v>
      </c>
      <c r="C863">
        <v>500</v>
      </c>
      <c r="D863">
        <v>495</v>
      </c>
    </row>
    <row r="864" spans="1:4" x14ac:dyDescent="0.3">
      <c r="A864" t="s">
        <v>1960</v>
      </c>
      <c r="B864" t="s">
        <v>1985</v>
      </c>
      <c r="C864">
        <v>250</v>
      </c>
      <c r="D864">
        <v>250</v>
      </c>
    </row>
    <row r="865" spans="1:4" x14ac:dyDescent="0.3">
      <c r="A865" t="s">
        <v>1960</v>
      </c>
      <c r="B865" t="s">
        <v>1984</v>
      </c>
      <c r="C865">
        <v>80</v>
      </c>
      <c r="D865">
        <v>78</v>
      </c>
    </row>
    <row r="866" spans="1:4" x14ac:dyDescent="0.3">
      <c r="A866" t="s">
        <v>1960</v>
      </c>
      <c r="B866" t="s">
        <v>1990</v>
      </c>
      <c r="C866">
        <v>50</v>
      </c>
      <c r="D866">
        <v>44</v>
      </c>
    </row>
    <row r="867" spans="1:4" x14ac:dyDescent="0.3">
      <c r="A867" t="s">
        <v>1960</v>
      </c>
      <c r="B867" t="s">
        <v>1992</v>
      </c>
      <c r="C867">
        <v>30</v>
      </c>
      <c r="D867">
        <v>29</v>
      </c>
    </row>
    <row r="868" spans="1:4" x14ac:dyDescent="0.3">
      <c r="A868" t="s">
        <v>1960</v>
      </c>
      <c r="B868" t="s">
        <v>1986</v>
      </c>
      <c r="C868">
        <v>500</v>
      </c>
      <c r="D868">
        <v>495</v>
      </c>
    </row>
    <row r="869" spans="1:4" x14ac:dyDescent="0.3">
      <c r="A869" t="s">
        <v>1960</v>
      </c>
      <c r="B869" t="s">
        <v>1990</v>
      </c>
      <c r="C869">
        <v>50</v>
      </c>
      <c r="D869">
        <v>43</v>
      </c>
    </row>
    <row r="870" spans="1:4" x14ac:dyDescent="0.3">
      <c r="A870" t="s">
        <v>1960</v>
      </c>
      <c r="B870" t="s">
        <v>1949</v>
      </c>
      <c r="C870">
        <v>700</v>
      </c>
      <c r="D870">
        <v>665</v>
      </c>
    </row>
    <row r="871" spans="1:4" x14ac:dyDescent="0.3">
      <c r="A871" t="s">
        <v>1960</v>
      </c>
      <c r="B871" t="s">
        <v>1985</v>
      </c>
      <c r="C871">
        <v>250</v>
      </c>
      <c r="D871">
        <v>235</v>
      </c>
    </row>
    <row r="872" spans="1:4" x14ac:dyDescent="0.3">
      <c r="A872" t="s">
        <v>1960</v>
      </c>
      <c r="B872" t="s">
        <v>1988</v>
      </c>
      <c r="C872">
        <v>70</v>
      </c>
      <c r="D872">
        <v>67</v>
      </c>
    </row>
    <row r="873" spans="1:4" x14ac:dyDescent="0.3">
      <c r="A873" t="s">
        <v>1960</v>
      </c>
      <c r="B873" t="s">
        <v>1950</v>
      </c>
      <c r="C873">
        <v>1000</v>
      </c>
      <c r="D873">
        <v>670</v>
      </c>
    </row>
    <row r="874" spans="1:4" x14ac:dyDescent="0.3">
      <c r="A874" t="s">
        <v>1960</v>
      </c>
      <c r="B874" t="s">
        <v>1984</v>
      </c>
      <c r="C874">
        <v>80</v>
      </c>
      <c r="D874">
        <v>72</v>
      </c>
    </row>
    <row r="875" spans="1:4" x14ac:dyDescent="0.3">
      <c r="A875" t="s">
        <v>1960</v>
      </c>
      <c r="B875" t="s">
        <v>1989</v>
      </c>
      <c r="C875">
        <v>150</v>
      </c>
      <c r="D875">
        <v>149</v>
      </c>
    </row>
    <row r="876" spans="1:4" x14ac:dyDescent="0.3">
      <c r="A876" t="s">
        <v>1960</v>
      </c>
      <c r="B876" t="s">
        <v>1992</v>
      </c>
      <c r="C876">
        <v>30</v>
      </c>
      <c r="D876">
        <v>29</v>
      </c>
    </row>
    <row r="877" spans="1:4" x14ac:dyDescent="0.3">
      <c r="A877" t="s">
        <v>1960</v>
      </c>
      <c r="B877" t="s">
        <v>1949</v>
      </c>
      <c r="C877">
        <v>700</v>
      </c>
      <c r="D877">
        <v>637</v>
      </c>
    </row>
    <row r="878" spans="1:4" x14ac:dyDescent="0.3">
      <c r="A878" t="s">
        <v>1960</v>
      </c>
      <c r="B878" t="s">
        <v>1989</v>
      </c>
      <c r="C878">
        <v>150</v>
      </c>
      <c r="D878">
        <v>149</v>
      </c>
    </row>
    <row r="879" spans="1:4" x14ac:dyDescent="0.3">
      <c r="A879" t="s">
        <v>1960</v>
      </c>
      <c r="B879" t="s">
        <v>1991</v>
      </c>
      <c r="C879">
        <v>500</v>
      </c>
      <c r="D879">
        <v>470</v>
      </c>
    </row>
    <row r="880" spans="1:4" x14ac:dyDescent="0.3">
      <c r="A880" t="s">
        <v>1960</v>
      </c>
      <c r="B880" t="s">
        <v>1992</v>
      </c>
      <c r="C880">
        <v>30</v>
      </c>
      <c r="D880">
        <v>30</v>
      </c>
    </row>
    <row r="881" spans="1:4" x14ac:dyDescent="0.3">
      <c r="A881" t="s">
        <v>1960</v>
      </c>
      <c r="B881" t="s">
        <v>1989</v>
      </c>
      <c r="C881">
        <v>150</v>
      </c>
      <c r="D881">
        <v>143</v>
      </c>
    </row>
    <row r="882" spans="1:4" x14ac:dyDescent="0.3">
      <c r="A882" t="s">
        <v>1960</v>
      </c>
      <c r="B882" t="s">
        <v>1984</v>
      </c>
      <c r="C882">
        <v>80</v>
      </c>
      <c r="D882">
        <v>70</v>
      </c>
    </row>
    <row r="883" spans="1:4" x14ac:dyDescent="0.3">
      <c r="A883" t="s">
        <v>1960</v>
      </c>
      <c r="B883" t="s">
        <v>1991</v>
      </c>
      <c r="C883">
        <v>500</v>
      </c>
      <c r="D883">
        <v>445</v>
      </c>
    </row>
    <row r="884" spans="1:4" x14ac:dyDescent="0.3">
      <c r="A884" t="s">
        <v>1960</v>
      </c>
      <c r="B884" t="s">
        <v>1984</v>
      </c>
      <c r="C884">
        <v>80</v>
      </c>
      <c r="D884">
        <v>78</v>
      </c>
    </row>
    <row r="885" spans="1:4" x14ac:dyDescent="0.3">
      <c r="A885" t="s">
        <v>1960</v>
      </c>
      <c r="B885" t="s">
        <v>1986</v>
      </c>
      <c r="C885">
        <v>500</v>
      </c>
      <c r="D885">
        <v>500</v>
      </c>
    </row>
    <row r="886" spans="1:4" x14ac:dyDescent="0.3">
      <c r="A886" t="s">
        <v>1960</v>
      </c>
      <c r="B886" t="s">
        <v>1988</v>
      </c>
      <c r="C886">
        <v>70</v>
      </c>
      <c r="D886">
        <v>65</v>
      </c>
    </row>
    <row r="887" spans="1:4" x14ac:dyDescent="0.3">
      <c r="A887" t="s">
        <v>1960</v>
      </c>
      <c r="B887" t="s">
        <v>1948</v>
      </c>
      <c r="C887">
        <v>800</v>
      </c>
      <c r="D887">
        <v>648</v>
      </c>
    </row>
    <row r="888" spans="1:4" x14ac:dyDescent="0.3">
      <c r="A888" t="s">
        <v>1960</v>
      </c>
      <c r="B888" t="s">
        <v>1991</v>
      </c>
      <c r="C888">
        <v>500</v>
      </c>
      <c r="D888">
        <v>440</v>
      </c>
    </row>
    <row r="889" spans="1:4" x14ac:dyDescent="0.3">
      <c r="A889" t="s">
        <v>1960</v>
      </c>
      <c r="B889" t="s">
        <v>1990</v>
      </c>
      <c r="C889">
        <v>50</v>
      </c>
      <c r="D889">
        <v>47</v>
      </c>
    </row>
    <row r="890" spans="1:4" x14ac:dyDescent="0.3">
      <c r="A890" t="s">
        <v>1960</v>
      </c>
      <c r="B890" t="s">
        <v>1985</v>
      </c>
      <c r="C890">
        <v>250</v>
      </c>
      <c r="D890">
        <v>225</v>
      </c>
    </row>
    <row r="891" spans="1:4" x14ac:dyDescent="0.3">
      <c r="A891" t="s">
        <v>1960</v>
      </c>
      <c r="B891" t="s">
        <v>1990</v>
      </c>
      <c r="C891">
        <v>50</v>
      </c>
      <c r="D891">
        <v>43</v>
      </c>
    </row>
    <row r="892" spans="1:4" x14ac:dyDescent="0.3">
      <c r="A892" t="s">
        <v>1960</v>
      </c>
      <c r="B892" t="s">
        <v>1990</v>
      </c>
      <c r="C892">
        <v>50</v>
      </c>
      <c r="D892">
        <v>36</v>
      </c>
    </row>
    <row r="893" spans="1:4" x14ac:dyDescent="0.3">
      <c r="A893" t="s">
        <v>1960</v>
      </c>
      <c r="B893" t="s">
        <v>1948</v>
      </c>
      <c r="C893">
        <v>800</v>
      </c>
      <c r="D893">
        <v>624</v>
      </c>
    </row>
    <row r="894" spans="1:4" x14ac:dyDescent="0.3">
      <c r="A894" t="s">
        <v>1960</v>
      </c>
      <c r="B894" t="s">
        <v>1987</v>
      </c>
      <c r="C894">
        <v>50</v>
      </c>
      <c r="D894">
        <v>34</v>
      </c>
    </row>
    <row r="895" spans="1:4" x14ac:dyDescent="0.3">
      <c r="A895" t="s">
        <v>1960</v>
      </c>
      <c r="B895" t="s">
        <v>1984</v>
      </c>
      <c r="C895">
        <v>80</v>
      </c>
      <c r="D895">
        <v>64</v>
      </c>
    </row>
    <row r="896" spans="1:4" x14ac:dyDescent="0.3">
      <c r="A896" t="s">
        <v>1960</v>
      </c>
      <c r="B896" t="s">
        <v>1984</v>
      </c>
      <c r="C896">
        <v>80</v>
      </c>
      <c r="D896">
        <v>80</v>
      </c>
    </row>
    <row r="897" spans="1:4" x14ac:dyDescent="0.3">
      <c r="A897" t="s">
        <v>1960</v>
      </c>
      <c r="B897" t="s">
        <v>1988</v>
      </c>
      <c r="C897">
        <v>70</v>
      </c>
      <c r="D897">
        <v>47</v>
      </c>
    </row>
    <row r="898" spans="1:4" x14ac:dyDescent="0.3">
      <c r="A898" t="s">
        <v>1960</v>
      </c>
      <c r="B898" t="s">
        <v>1988</v>
      </c>
      <c r="C898">
        <v>70</v>
      </c>
      <c r="D898">
        <v>64</v>
      </c>
    </row>
    <row r="899" spans="1:4" x14ac:dyDescent="0.3">
      <c r="A899" t="s">
        <v>1960</v>
      </c>
      <c r="B899" t="s">
        <v>1987</v>
      </c>
      <c r="C899">
        <v>50</v>
      </c>
      <c r="D899">
        <v>39</v>
      </c>
    </row>
    <row r="900" spans="1:4" x14ac:dyDescent="0.3">
      <c r="A900" t="s">
        <v>1960</v>
      </c>
      <c r="B900" t="s">
        <v>1986</v>
      </c>
      <c r="C900">
        <v>500</v>
      </c>
      <c r="D900">
        <v>495</v>
      </c>
    </row>
    <row r="901" spans="1:4" x14ac:dyDescent="0.3">
      <c r="A901" t="s">
        <v>1960</v>
      </c>
      <c r="B901" t="s">
        <v>1987</v>
      </c>
      <c r="C901">
        <v>50</v>
      </c>
      <c r="D901">
        <v>47</v>
      </c>
    </row>
    <row r="902" spans="1:4" x14ac:dyDescent="0.3">
      <c r="A902" t="s">
        <v>1960</v>
      </c>
      <c r="B902" t="s">
        <v>1992</v>
      </c>
      <c r="C902">
        <v>30</v>
      </c>
      <c r="D902">
        <v>30</v>
      </c>
    </row>
    <row r="903" spans="1:4" x14ac:dyDescent="0.3">
      <c r="A903" t="s">
        <v>1960</v>
      </c>
      <c r="B903" t="s">
        <v>1949</v>
      </c>
      <c r="C903">
        <v>700</v>
      </c>
      <c r="D903">
        <v>651</v>
      </c>
    </row>
    <row r="904" spans="1:4" x14ac:dyDescent="0.3">
      <c r="A904" t="s">
        <v>1960</v>
      </c>
      <c r="B904" t="s">
        <v>1988</v>
      </c>
      <c r="C904">
        <v>70</v>
      </c>
      <c r="D904">
        <v>52</v>
      </c>
    </row>
    <row r="905" spans="1:4" x14ac:dyDescent="0.3">
      <c r="A905" t="s">
        <v>1960</v>
      </c>
      <c r="B905" t="s">
        <v>1988</v>
      </c>
      <c r="C905">
        <v>70</v>
      </c>
      <c r="D905">
        <v>65</v>
      </c>
    </row>
    <row r="906" spans="1:4" x14ac:dyDescent="0.3">
      <c r="A906" t="s">
        <v>1960</v>
      </c>
      <c r="B906" t="s">
        <v>1992</v>
      </c>
      <c r="C906">
        <v>30</v>
      </c>
      <c r="D906">
        <v>30</v>
      </c>
    </row>
    <row r="907" spans="1:4" x14ac:dyDescent="0.3">
      <c r="A907" t="s">
        <v>1960</v>
      </c>
      <c r="B907" t="s">
        <v>1949</v>
      </c>
      <c r="C907">
        <v>700</v>
      </c>
      <c r="D907">
        <v>665</v>
      </c>
    </row>
    <row r="908" spans="1:4" x14ac:dyDescent="0.3">
      <c r="A908" t="s">
        <v>1960</v>
      </c>
      <c r="B908" t="s">
        <v>1984</v>
      </c>
      <c r="C908">
        <v>80</v>
      </c>
      <c r="D908">
        <v>56</v>
      </c>
    </row>
    <row r="909" spans="1:4" x14ac:dyDescent="0.3">
      <c r="A909" t="s">
        <v>1960</v>
      </c>
      <c r="B909" t="s">
        <v>1992</v>
      </c>
      <c r="C909">
        <v>30</v>
      </c>
      <c r="D909">
        <v>26</v>
      </c>
    </row>
    <row r="910" spans="1:4" x14ac:dyDescent="0.3">
      <c r="A910" t="s">
        <v>1960</v>
      </c>
      <c r="B910" t="s">
        <v>1987</v>
      </c>
      <c r="C910">
        <v>50</v>
      </c>
      <c r="D910">
        <v>50</v>
      </c>
    </row>
    <row r="911" spans="1:4" x14ac:dyDescent="0.3">
      <c r="A911" t="s">
        <v>1960</v>
      </c>
      <c r="B911" t="s">
        <v>1987</v>
      </c>
      <c r="C911">
        <v>50</v>
      </c>
      <c r="D911">
        <v>43</v>
      </c>
    </row>
    <row r="912" spans="1:4" x14ac:dyDescent="0.3">
      <c r="A912" t="s">
        <v>1960</v>
      </c>
      <c r="B912" t="s">
        <v>1987</v>
      </c>
      <c r="C912">
        <v>50</v>
      </c>
      <c r="D912">
        <v>38</v>
      </c>
    </row>
    <row r="913" spans="1:4" x14ac:dyDescent="0.3">
      <c r="A913" t="s">
        <v>1961</v>
      </c>
      <c r="B913" t="s">
        <v>1992</v>
      </c>
      <c r="C913">
        <v>30</v>
      </c>
      <c r="D913">
        <v>30</v>
      </c>
    </row>
    <row r="914" spans="1:4" x14ac:dyDescent="0.3">
      <c r="A914" t="s">
        <v>1961</v>
      </c>
      <c r="B914" t="s">
        <v>1985</v>
      </c>
      <c r="C914">
        <v>250</v>
      </c>
      <c r="D914">
        <v>213</v>
      </c>
    </row>
    <row r="915" spans="1:4" x14ac:dyDescent="0.3">
      <c r="A915" t="s">
        <v>1961</v>
      </c>
      <c r="B915" t="s">
        <v>1989</v>
      </c>
      <c r="C915">
        <v>150</v>
      </c>
      <c r="D915">
        <v>144</v>
      </c>
    </row>
    <row r="916" spans="1:4" x14ac:dyDescent="0.3">
      <c r="A916" t="s">
        <v>1961</v>
      </c>
      <c r="B916" t="s">
        <v>1991</v>
      </c>
      <c r="C916">
        <v>500</v>
      </c>
      <c r="D916">
        <v>500</v>
      </c>
    </row>
    <row r="917" spans="1:4" x14ac:dyDescent="0.3">
      <c r="A917" t="s">
        <v>1961</v>
      </c>
      <c r="B917" t="s">
        <v>1950</v>
      </c>
      <c r="C917">
        <v>1000</v>
      </c>
      <c r="D917">
        <v>540</v>
      </c>
    </row>
    <row r="918" spans="1:4" x14ac:dyDescent="0.3">
      <c r="A918" t="s">
        <v>1961</v>
      </c>
      <c r="B918" t="s">
        <v>1949</v>
      </c>
      <c r="C918">
        <v>700</v>
      </c>
      <c r="D918">
        <v>637</v>
      </c>
    </row>
    <row r="919" spans="1:4" x14ac:dyDescent="0.3">
      <c r="A919" t="s">
        <v>1961</v>
      </c>
      <c r="B919" t="s">
        <v>1986</v>
      </c>
      <c r="C919">
        <v>500</v>
      </c>
      <c r="D919">
        <v>500</v>
      </c>
    </row>
    <row r="920" spans="1:4" x14ac:dyDescent="0.3">
      <c r="A920" t="s">
        <v>1961</v>
      </c>
      <c r="B920" t="s">
        <v>1988</v>
      </c>
      <c r="C920">
        <v>70</v>
      </c>
      <c r="D920">
        <v>69</v>
      </c>
    </row>
    <row r="921" spans="1:4" x14ac:dyDescent="0.3">
      <c r="A921" t="s">
        <v>1961</v>
      </c>
      <c r="B921" t="s">
        <v>1992</v>
      </c>
      <c r="C921">
        <v>30</v>
      </c>
      <c r="D921">
        <v>29</v>
      </c>
    </row>
    <row r="922" spans="1:4" x14ac:dyDescent="0.3">
      <c r="A922" t="s">
        <v>1961</v>
      </c>
      <c r="B922" t="s">
        <v>1987</v>
      </c>
      <c r="C922">
        <v>50</v>
      </c>
      <c r="D922">
        <v>44</v>
      </c>
    </row>
    <row r="923" spans="1:4" x14ac:dyDescent="0.3">
      <c r="A923" t="s">
        <v>1961</v>
      </c>
      <c r="B923" t="s">
        <v>1949</v>
      </c>
      <c r="C923">
        <v>700</v>
      </c>
      <c r="D923">
        <v>672</v>
      </c>
    </row>
    <row r="924" spans="1:4" x14ac:dyDescent="0.3">
      <c r="A924" t="s">
        <v>1961</v>
      </c>
      <c r="B924" t="s">
        <v>1985</v>
      </c>
      <c r="C924">
        <v>250</v>
      </c>
      <c r="D924">
        <v>223</v>
      </c>
    </row>
    <row r="925" spans="1:4" x14ac:dyDescent="0.3">
      <c r="A925" t="s">
        <v>1961</v>
      </c>
      <c r="B925" t="s">
        <v>1985</v>
      </c>
      <c r="C925">
        <v>250</v>
      </c>
      <c r="D925">
        <v>245</v>
      </c>
    </row>
    <row r="926" spans="1:4" x14ac:dyDescent="0.3">
      <c r="A926" t="s">
        <v>1961</v>
      </c>
      <c r="B926" t="s">
        <v>1949</v>
      </c>
      <c r="C926">
        <v>700</v>
      </c>
      <c r="D926">
        <v>651</v>
      </c>
    </row>
    <row r="927" spans="1:4" x14ac:dyDescent="0.3">
      <c r="A927" t="s">
        <v>1961</v>
      </c>
      <c r="B927" t="s">
        <v>1990</v>
      </c>
      <c r="C927">
        <v>50</v>
      </c>
      <c r="D927">
        <v>49</v>
      </c>
    </row>
    <row r="928" spans="1:4" x14ac:dyDescent="0.3">
      <c r="A928" t="s">
        <v>1961</v>
      </c>
      <c r="B928" t="s">
        <v>1985</v>
      </c>
      <c r="C928">
        <v>250</v>
      </c>
      <c r="D928">
        <v>223</v>
      </c>
    </row>
    <row r="929" spans="1:4" x14ac:dyDescent="0.3">
      <c r="A929" t="s">
        <v>1961</v>
      </c>
      <c r="B929" t="s">
        <v>1948</v>
      </c>
      <c r="C929">
        <v>800</v>
      </c>
      <c r="D929">
        <v>496</v>
      </c>
    </row>
    <row r="930" spans="1:4" x14ac:dyDescent="0.3">
      <c r="A930" t="s">
        <v>1961</v>
      </c>
      <c r="B930" t="s">
        <v>1949</v>
      </c>
      <c r="C930">
        <v>700</v>
      </c>
      <c r="D930">
        <v>609</v>
      </c>
    </row>
    <row r="931" spans="1:4" x14ac:dyDescent="0.3">
      <c r="A931" t="s">
        <v>1961</v>
      </c>
      <c r="B931" t="s">
        <v>1986</v>
      </c>
      <c r="C931">
        <v>500</v>
      </c>
      <c r="D931">
        <v>495</v>
      </c>
    </row>
    <row r="932" spans="1:4" x14ac:dyDescent="0.3">
      <c r="A932" t="s">
        <v>1961</v>
      </c>
      <c r="B932" t="s">
        <v>1989</v>
      </c>
      <c r="C932">
        <v>150</v>
      </c>
      <c r="D932">
        <v>143</v>
      </c>
    </row>
    <row r="933" spans="1:4" x14ac:dyDescent="0.3">
      <c r="A933" t="s">
        <v>1961</v>
      </c>
      <c r="B933" t="s">
        <v>1989</v>
      </c>
      <c r="C933">
        <v>150</v>
      </c>
      <c r="D933">
        <v>144</v>
      </c>
    </row>
    <row r="934" spans="1:4" x14ac:dyDescent="0.3">
      <c r="A934" t="s">
        <v>1961</v>
      </c>
      <c r="B934" t="s">
        <v>1984</v>
      </c>
      <c r="C934">
        <v>80</v>
      </c>
      <c r="D934">
        <v>76</v>
      </c>
    </row>
    <row r="935" spans="1:4" x14ac:dyDescent="0.3">
      <c r="A935" t="s">
        <v>1961</v>
      </c>
      <c r="B935" t="s">
        <v>1987</v>
      </c>
      <c r="C935">
        <v>50</v>
      </c>
      <c r="D935">
        <v>49</v>
      </c>
    </row>
    <row r="936" spans="1:4" x14ac:dyDescent="0.3">
      <c r="A936" t="s">
        <v>1961</v>
      </c>
      <c r="B936" t="s">
        <v>1987</v>
      </c>
      <c r="C936">
        <v>50</v>
      </c>
      <c r="D936">
        <v>46</v>
      </c>
    </row>
    <row r="937" spans="1:4" x14ac:dyDescent="0.3">
      <c r="A937" t="s">
        <v>1961</v>
      </c>
      <c r="B937" t="s">
        <v>1989</v>
      </c>
      <c r="C937">
        <v>150</v>
      </c>
      <c r="D937">
        <v>146</v>
      </c>
    </row>
    <row r="938" spans="1:4" x14ac:dyDescent="0.3">
      <c r="A938" t="s">
        <v>1961</v>
      </c>
      <c r="B938" t="s">
        <v>1991</v>
      </c>
      <c r="C938">
        <v>500</v>
      </c>
      <c r="D938">
        <v>450</v>
      </c>
    </row>
    <row r="939" spans="1:4" x14ac:dyDescent="0.3">
      <c r="A939" t="s">
        <v>1961</v>
      </c>
      <c r="B939" t="s">
        <v>1987</v>
      </c>
      <c r="C939">
        <v>50</v>
      </c>
      <c r="D939">
        <v>46</v>
      </c>
    </row>
    <row r="940" spans="1:4" x14ac:dyDescent="0.3">
      <c r="A940" t="s">
        <v>1961</v>
      </c>
      <c r="B940" t="s">
        <v>1986</v>
      </c>
      <c r="C940">
        <v>500</v>
      </c>
      <c r="D940">
        <v>500</v>
      </c>
    </row>
    <row r="941" spans="1:4" x14ac:dyDescent="0.3">
      <c r="A941" t="s">
        <v>1961</v>
      </c>
      <c r="B941" t="s">
        <v>1992</v>
      </c>
      <c r="C941">
        <v>30</v>
      </c>
      <c r="D941">
        <v>28</v>
      </c>
    </row>
    <row r="942" spans="1:4" x14ac:dyDescent="0.3">
      <c r="A942" t="s">
        <v>1961</v>
      </c>
      <c r="B942" t="s">
        <v>1987</v>
      </c>
      <c r="C942">
        <v>50</v>
      </c>
      <c r="D942">
        <v>46</v>
      </c>
    </row>
    <row r="943" spans="1:4" x14ac:dyDescent="0.3">
      <c r="A943" t="s">
        <v>1961</v>
      </c>
      <c r="B943" t="s">
        <v>1990</v>
      </c>
      <c r="C943">
        <v>50</v>
      </c>
      <c r="D943">
        <v>50</v>
      </c>
    </row>
    <row r="944" spans="1:4" x14ac:dyDescent="0.3">
      <c r="A944" t="s">
        <v>1961</v>
      </c>
      <c r="B944" t="s">
        <v>1990</v>
      </c>
      <c r="C944">
        <v>50</v>
      </c>
      <c r="D944">
        <v>47</v>
      </c>
    </row>
    <row r="945" spans="1:4" x14ac:dyDescent="0.3">
      <c r="A945" t="s">
        <v>1961</v>
      </c>
      <c r="B945" t="s">
        <v>1992</v>
      </c>
      <c r="C945">
        <v>30</v>
      </c>
      <c r="D945">
        <v>29</v>
      </c>
    </row>
    <row r="946" spans="1:4" x14ac:dyDescent="0.3">
      <c r="A946" t="s">
        <v>1961</v>
      </c>
      <c r="B946" t="s">
        <v>1989</v>
      </c>
      <c r="C946">
        <v>150</v>
      </c>
      <c r="D946">
        <v>144</v>
      </c>
    </row>
    <row r="947" spans="1:4" x14ac:dyDescent="0.3">
      <c r="A947" t="s">
        <v>1961</v>
      </c>
      <c r="B947" t="s">
        <v>1990</v>
      </c>
      <c r="C947">
        <v>50</v>
      </c>
      <c r="D947">
        <v>46</v>
      </c>
    </row>
    <row r="948" spans="1:4" x14ac:dyDescent="0.3">
      <c r="A948" t="s">
        <v>1961</v>
      </c>
      <c r="B948" t="s">
        <v>1948</v>
      </c>
      <c r="C948">
        <v>800</v>
      </c>
      <c r="D948">
        <v>616</v>
      </c>
    </row>
    <row r="949" spans="1:4" x14ac:dyDescent="0.3">
      <c r="A949" t="s">
        <v>1961</v>
      </c>
      <c r="B949" t="s">
        <v>1987</v>
      </c>
      <c r="C949">
        <v>50</v>
      </c>
      <c r="D949">
        <v>47</v>
      </c>
    </row>
    <row r="950" spans="1:4" x14ac:dyDescent="0.3">
      <c r="A950" t="s">
        <v>1961</v>
      </c>
      <c r="B950" t="s">
        <v>1991</v>
      </c>
      <c r="C950">
        <v>500</v>
      </c>
      <c r="D950">
        <v>435</v>
      </c>
    </row>
    <row r="951" spans="1:4" x14ac:dyDescent="0.3">
      <c r="A951" t="s">
        <v>1961</v>
      </c>
      <c r="B951" t="s">
        <v>1988</v>
      </c>
      <c r="C951">
        <v>70</v>
      </c>
      <c r="D951">
        <v>60</v>
      </c>
    </row>
    <row r="952" spans="1:4" x14ac:dyDescent="0.3">
      <c r="A952" t="s">
        <v>1961</v>
      </c>
      <c r="B952" t="s">
        <v>1984</v>
      </c>
      <c r="C952">
        <v>80</v>
      </c>
      <c r="D952">
        <v>74</v>
      </c>
    </row>
    <row r="953" spans="1:4" x14ac:dyDescent="0.3">
      <c r="A953" t="s">
        <v>1961</v>
      </c>
      <c r="B953" t="s">
        <v>1948</v>
      </c>
      <c r="C953">
        <v>800</v>
      </c>
      <c r="D953">
        <v>648</v>
      </c>
    </row>
    <row r="954" spans="1:4" x14ac:dyDescent="0.3">
      <c r="A954" t="s">
        <v>1961</v>
      </c>
      <c r="B954" t="s">
        <v>1985</v>
      </c>
      <c r="C954">
        <v>250</v>
      </c>
      <c r="D954">
        <v>240</v>
      </c>
    </row>
    <row r="955" spans="1:4" x14ac:dyDescent="0.3">
      <c r="A955" t="s">
        <v>1961</v>
      </c>
      <c r="B955" t="s">
        <v>1984</v>
      </c>
      <c r="C955">
        <v>80</v>
      </c>
      <c r="D955">
        <v>70</v>
      </c>
    </row>
    <row r="956" spans="1:4" x14ac:dyDescent="0.3">
      <c r="A956" t="s">
        <v>1961</v>
      </c>
      <c r="B956" t="s">
        <v>1992</v>
      </c>
      <c r="C956">
        <v>30</v>
      </c>
      <c r="D956">
        <v>28</v>
      </c>
    </row>
    <row r="957" spans="1:4" x14ac:dyDescent="0.3">
      <c r="A957" t="s">
        <v>1961</v>
      </c>
      <c r="B957" t="s">
        <v>1990</v>
      </c>
      <c r="C957">
        <v>50</v>
      </c>
      <c r="D957">
        <v>45</v>
      </c>
    </row>
    <row r="958" spans="1:4" x14ac:dyDescent="0.3">
      <c r="A958" t="s">
        <v>1961</v>
      </c>
      <c r="B958" t="s">
        <v>1990</v>
      </c>
      <c r="C958">
        <v>50</v>
      </c>
      <c r="D958">
        <v>45</v>
      </c>
    </row>
    <row r="959" spans="1:4" x14ac:dyDescent="0.3">
      <c r="A959" t="s">
        <v>1961</v>
      </c>
      <c r="B959" t="s">
        <v>1986</v>
      </c>
      <c r="C959">
        <v>500</v>
      </c>
      <c r="D959">
        <v>500</v>
      </c>
    </row>
    <row r="960" spans="1:4" x14ac:dyDescent="0.3">
      <c r="A960" t="s">
        <v>1961</v>
      </c>
      <c r="B960" t="s">
        <v>1988</v>
      </c>
      <c r="C960">
        <v>70</v>
      </c>
      <c r="D960">
        <v>68</v>
      </c>
    </row>
    <row r="961" spans="1:4" x14ac:dyDescent="0.3">
      <c r="A961" t="s">
        <v>1961</v>
      </c>
      <c r="B961" t="s">
        <v>1989</v>
      </c>
      <c r="C961">
        <v>150</v>
      </c>
      <c r="D961">
        <v>149</v>
      </c>
    </row>
    <row r="962" spans="1:4" x14ac:dyDescent="0.3">
      <c r="A962" t="s">
        <v>1961</v>
      </c>
      <c r="B962" t="s">
        <v>1990</v>
      </c>
      <c r="C962">
        <v>50</v>
      </c>
      <c r="D962">
        <v>44</v>
      </c>
    </row>
    <row r="963" spans="1:4" x14ac:dyDescent="0.3">
      <c r="A963" t="s">
        <v>1961</v>
      </c>
      <c r="B963" t="s">
        <v>1984</v>
      </c>
      <c r="C963">
        <v>80</v>
      </c>
      <c r="D963">
        <v>78</v>
      </c>
    </row>
    <row r="964" spans="1:4" x14ac:dyDescent="0.3">
      <c r="A964" t="s">
        <v>1961</v>
      </c>
      <c r="B964" t="s">
        <v>1989</v>
      </c>
      <c r="C964">
        <v>150</v>
      </c>
      <c r="D964">
        <v>137</v>
      </c>
    </row>
    <row r="965" spans="1:4" x14ac:dyDescent="0.3">
      <c r="A965" t="s">
        <v>1961</v>
      </c>
      <c r="B965" t="s">
        <v>1985</v>
      </c>
      <c r="C965">
        <v>250</v>
      </c>
      <c r="D965">
        <v>240</v>
      </c>
    </row>
    <row r="966" spans="1:4" x14ac:dyDescent="0.3">
      <c r="A966" t="s">
        <v>1961</v>
      </c>
      <c r="B966" t="s">
        <v>1988</v>
      </c>
      <c r="C966">
        <v>70</v>
      </c>
      <c r="D966">
        <v>63</v>
      </c>
    </row>
    <row r="967" spans="1:4" x14ac:dyDescent="0.3">
      <c r="A967" t="s">
        <v>1961</v>
      </c>
      <c r="B967" t="s">
        <v>1988</v>
      </c>
      <c r="C967">
        <v>70</v>
      </c>
      <c r="D967">
        <v>69</v>
      </c>
    </row>
    <row r="968" spans="1:4" x14ac:dyDescent="0.3">
      <c r="A968" t="s">
        <v>1961</v>
      </c>
      <c r="B968" t="s">
        <v>1984</v>
      </c>
      <c r="C968">
        <v>80</v>
      </c>
      <c r="D968">
        <v>79</v>
      </c>
    </row>
    <row r="969" spans="1:4" x14ac:dyDescent="0.3">
      <c r="A969" t="s">
        <v>1961</v>
      </c>
      <c r="B969" t="s">
        <v>1990</v>
      </c>
      <c r="C969">
        <v>50</v>
      </c>
      <c r="D969">
        <v>50</v>
      </c>
    </row>
    <row r="970" spans="1:4" x14ac:dyDescent="0.3">
      <c r="A970" t="s">
        <v>1961</v>
      </c>
      <c r="B970" t="s">
        <v>1989</v>
      </c>
      <c r="C970">
        <v>150</v>
      </c>
      <c r="D970">
        <v>143</v>
      </c>
    </row>
    <row r="971" spans="1:4" x14ac:dyDescent="0.3">
      <c r="A971" t="s">
        <v>1961</v>
      </c>
      <c r="B971" t="s">
        <v>1985</v>
      </c>
      <c r="C971">
        <v>250</v>
      </c>
      <c r="D971">
        <v>228</v>
      </c>
    </row>
    <row r="972" spans="1:4" x14ac:dyDescent="0.3">
      <c r="A972" t="s">
        <v>1961</v>
      </c>
      <c r="B972" t="s">
        <v>1984</v>
      </c>
      <c r="C972">
        <v>80</v>
      </c>
      <c r="D972">
        <v>78</v>
      </c>
    </row>
    <row r="973" spans="1:4" x14ac:dyDescent="0.3">
      <c r="A973" t="s">
        <v>1961</v>
      </c>
      <c r="B973" t="s">
        <v>1984</v>
      </c>
      <c r="C973">
        <v>80</v>
      </c>
      <c r="D973">
        <v>70</v>
      </c>
    </row>
    <row r="974" spans="1:4" x14ac:dyDescent="0.3">
      <c r="A974" t="s">
        <v>1961</v>
      </c>
      <c r="B974" t="s">
        <v>1990</v>
      </c>
      <c r="C974">
        <v>50</v>
      </c>
      <c r="D974">
        <v>34</v>
      </c>
    </row>
    <row r="975" spans="1:4" x14ac:dyDescent="0.3">
      <c r="A975" t="s">
        <v>1961</v>
      </c>
      <c r="B975" t="s">
        <v>1950</v>
      </c>
      <c r="C975">
        <v>1000</v>
      </c>
      <c r="D975">
        <v>610</v>
      </c>
    </row>
    <row r="976" spans="1:4" x14ac:dyDescent="0.3">
      <c r="A976" t="s">
        <v>1961</v>
      </c>
      <c r="B976" t="s">
        <v>1992</v>
      </c>
      <c r="C976">
        <v>30</v>
      </c>
      <c r="D976">
        <v>23</v>
      </c>
    </row>
    <row r="977" spans="1:4" x14ac:dyDescent="0.3">
      <c r="A977" t="s">
        <v>1961</v>
      </c>
      <c r="B977" t="s">
        <v>1991</v>
      </c>
      <c r="C977">
        <v>500</v>
      </c>
      <c r="D977">
        <v>430</v>
      </c>
    </row>
    <row r="978" spans="1:4" x14ac:dyDescent="0.3">
      <c r="A978" t="s">
        <v>1961</v>
      </c>
      <c r="B978" t="s">
        <v>1986</v>
      </c>
      <c r="C978">
        <v>500</v>
      </c>
      <c r="D978">
        <v>490</v>
      </c>
    </row>
    <row r="979" spans="1:4" x14ac:dyDescent="0.3">
      <c r="A979" t="s">
        <v>1961</v>
      </c>
      <c r="B979" t="s">
        <v>1990</v>
      </c>
      <c r="C979">
        <v>50</v>
      </c>
      <c r="D979">
        <v>42</v>
      </c>
    </row>
    <row r="980" spans="1:4" x14ac:dyDescent="0.3">
      <c r="A980" t="s">
        <v>1961</v>
      </c>
      <c r="B980" t="s">
        <v>1987</v>
      </c>
      <c r="C980">
        <v>50</v>
      </c>
      <c r="D980">
        <v>34</v>
      </c>
    </row>
    <row r="981" spans="1:4" x14ac:dyDescent="0.3">
      <c r="A981" t="s">
        <v>1961</v>
      </c>
      <c r="B981" t="s">
        <v>1988</v>
      </c>
      <c r="C981">
        <v>70</v>
      </c>
      <c r="D981">
        <v>56</v>
      </c>
    </row>
    <row r="982" spans="1:4" x14ac:dyDescent="0.3">
      <c r="A982" t="s">
        <v>1961</v>
      </c>
      <c r="B982" t="s">
        <v>1992</v>
      </c>
      <c r="C982">
        <v>30</v>
      </c>
      <c r="D982">
        <v>19</v>
      </c>
    </row>
    <row r="983" spans="1:4" x14ac:dyDescent="0.3">
      <c r="A983" t="s">
        <v>1961</v>
      </c>
      <c r="B983" t="s">
        <v>1990</v>
      </c>
      <c r="C983">
        <v>50</v>
      </c>
      <c r="D983">
        <v>39</v>
      </c>
    </row>
    <row r="984" spans="1:4" x14ac:dyDescent="0.3">
      <c r="A984" t="s">
        <v>1961</v>
      </c>
      <c r="B984" t="s">
        <v>1990</v>
      </c>
      <c r="C984">
        <v>50</v>
      </c>
      <c r="D984">
        <v>47</v>
      </c>
    </row>
    <row r="985" spans="1:4" x14ac:dyDescent="0.3">
      <c r="A985" t="s">
        <v>1961</v>
      </c>
      <c r="B985" t="s">
        <v>1991</v>
      </c>
      <c r="C985">
        <v>500</v>
      </c>
      <c r="D985">
        <v>345</v>
      </c>
    </row>
    <row r="986" spans="1:4" x14ac:dyDescent="0.3">
      <c r="A986" t="s">
        <v>1961</v>
      </c>
      <c r="B986" t="s">
        <v>1949</v>
      </c>
      <c r="C986">
        <v>700</v>
      </c>
      <c r="D986">
        <v>462</v>
      </c>
    </row>
    <row r="987" spans="1:4" x14ac:dyDescent="0.3">
      <c r="A987" t="s">
        <v>1961</v>
      </c>
      <c r="B987" t="s">
        <v>1992</v>
      </c>
      <c r="C987">
        <v>30</v>
      </c>
      <c r="D987">
        <v>23</v>
      </c>
    </row>
    <row r="988" spans="1:4" x14ac:dyDescent="0.3">
      <c r="A988" t="s">
        <v>1961</v>
      </c>
      <c r="B988" t="s">
        <v>1990</v>
      </c>
      <c r="C988">
        <v>50</v>
      </c>
      <c r="D988">
        <v>35</v>
      </c>
    </row>
    <row r="989" spans="1:4" x14ac:dyDescent="0.3">
      <c r="A989" t="s">
        <v>1961</v>
      </c>
      <c r="B989" t="s">
        <v>1987</v>
      </c>
      <c r="C989">
        <v>50</v>
      </c>
      <c r="D989">
        <v>38</v>
      </c>
    </row>
    <row r="990" spans="1:4" x14ac:dyDescent="0.3">
      <c r="A990" t="s">
        <v>1961</v>
      </c>
      <c r="B990" t="s">
        <v>1989</v>
      </c>
      <c r="C990">
        <v>150</v>
      </c>
      <c r="D990">
        <v>119</v>
      </c>
    </row>
    <row r="991" spans="1:4" x14ac:dyDescent="0.3">
      <c r="A991" t="s">
        <v>1961</v>
      </c>
      <c r="B991" t="s">
        <v>1949</v>
      </c>
      <c r="C991">
        <v>700</v>
      </c>
      <c r="D991">
        <v>574</v>
      </c>
    </row>
    <row r="992" spans="1:4" x14ac:dyDescent="0.3">
      <c r="A992" t="s">
        <v>1961</v>
      </c>
      <c r="B992" t="s">
        <v>1990</v>
      </c>
      <c r="C992">
        <v>50</v>
      </c>
      <c r="D992">
        <v>49</v>
      </c>
    </row>
    <row r="993" spans="1:4" x14ac:dyDescent="0.3">
      <c r="A993" t="s">
        <v>1961</v>
      </c>
      <c r="B993" t="s">
        <v>1987</v>
      </c>
      <c r="C993">
        <v>50</v>
      </c>
      <c r="D993">
        <v>37</v>
      </c>
    </row>
    <row r="994" spans="1:4" x14ac:dyDescent="0.3">
      <c r="A994" t="s">
        <v>1961</v>
      </c>
      <c r="B994" t="s">
        <v>1984</v>
      </c>
      <c r="C994">
        <v>80</v>
      </c>
      <c r="D994">
        <v>60</v>
      </c>
    </row>
    <row r="995" spans="1:4" x14ac:dyDescent="0.3">
      <c r="A995" t="s">
        <v>1961</v>
      </c>
      <c r="B995" t="s">
        <v>1992</v>
      </c>
      <c r="C995">
        <v>30</v>
      </c>
      <c r="D995">
        <v>24</v>
      </c>
    </row>
    <row r="996" spans="1:4" x14ac:dyDescent="0.3">
      <c r="A996" t="s">
        <v>1961</v>
      </c>
      <c r="B996" t="s">
        <v>1950</v>
      </c>
      <c r="C996">
        <v>1000</v>
      </c>
      <c r="D996">
        <v>620</v>
      </c>
    </row>
    <row r="997" spans="1:4" x14ac:dyDescent="0.3">
      <c r="A997" t="s">
        <v>1961</v>
      </c>
      <c r="B997" t="s">
        <v>1987</v>
      </c>
      <c r="C997">
        <v>50</v>
      </c>
      <c r="D997">
        <v>41</v>
      </c>
    </row>
    <row r="998" spans="1:4" x14ac:dyDescent="0.3">
      <c r="A998" t="s">
        <v>1961</v>
      </c>
      <c r="B998" t="s">
        <v>1949</v>
      </c>
      <c r="C998">
        <v>700</v>
      </c>
      <c r="D998">
        <v>546</v>
      </c>
    </row>
    <row r="999" spans="1:4" x14ac:dyDescent="0.3">
      <c r="A999" t="s">
        <v>1961</v>
      </c>
      <c r="B999" t="s">
        <v>1990</v>
      </c>
      <c r="C999">
        <v>50</v>
      </c>
      <c r="D999">
        <v>39</v>
      </c>
    </row>
    <row r="1000" spans="1:4" x14ac:dyDescent="0.3">
      <c r="A1000" t="s">
        <v>1961</v>
      </c>
      <c r="B1000" t="s">
        <v>1986</v>
      </c>
      <c r="C1000">
        <v>500</v>
      </c>
      <c r="D1000">
        <v>500</v>
      </c>
    </row>
    <row r="1001" spans="1:4" x14ac:dyDescent="0.3">
      <c r="A1001" t="s">
        <v>1961</v>
      </c>
      <c r="B1001" t="s">
        <v>1991</v>
      </c>
      <c r="C1001">
        <v>500</v>
      </c>
      <c r="D1001">
        <v>380</v>
      </c>
    </row>
    <row r="1002" spans="1:4" x14ac:dyDescent="0.3">
      <c r="A1002" t="s">
        <v>1961</v>
      </c>
      <c r="B1002" t="s">
        <v>1986</v>
      </c>
      <c r="C1002">
        <v>500</v>
      </c>
      <c r="D1002">
        <v>490</v>
      </c>
    </row>
    <row r="1003" spans="1:4" x14ac:dyDescent="0.3">
      <c r="A1003" t="s">
        <v>1961</v>
      </c>
      <c r="B1003" t="s">
        <v>1992</v>
      </c>
      <c r="C1003">
        <v>30</v>
      </c>
      <c r="D1003">
        <v>22</v>
      </c>
    </row>
    <row r="1004" spans="1:4" x14ac:dyDescent="0.3">
      <c r="A1004" t="s">
        <v>1961</v>
      </c>
      <c r="B1004" t="s">
        <v>1949</v>
      </c>
      <c r="C1004">
        <v>700</v>
      </c>
      <c r="D1004">
        <v>623</v>
      </c>
    </row>
    <row r="1005" spans="1:4" x14ac:dyDescent="0.3">
      <c r="A1005" t="s">
        <v>1961</v>
      </c>
      <c r="B1005" t="s">
        <v>1990</v>
      </c>
      <c r="C1005">
        <v>50</v>
      </c>
      <c r="D1005">
        <v>48</v>
      </c>
    </row>
    <row r="1006" spans="1:4" x14ac:dyDescent="0.3">
      <c r="A1006" t="s">
        <v>1961</v>
      </c>
      <c r="B1006" t="s">
        <v>1949</v>
      </c>
      <c r="C1006">
        <v>700</v>
      </c>
      <c r="D1006">
        <v>672</v>
      </c>
    </row>
    <row r="1007" spans="1:4" x14ac:dyDescent="0.3">
      <c r="A1007" t="s">
        <v>1962</v>
      </c>
      <c r="B1007" t="s">
        <v>1985</v>
      </c>
      <c r="C1007">
        <v>250</v>
      </c>
      <c r="D1007">
        <v>240</v>
      </c>
    </row>
    <row r="1008" spans="1:4" x14ac:dyDescent="0.3">
      <c r="A1008" t="s">
        <v>1962</v>
      </c>
      <c r="B1008" t="s">
        <v>1990</v>
      </c>
      <c r="C1008">
        <v>50</v>
      </c>
      <c r="D1008">
        <v>43</v>
      </c>
    </row>
    <row r="1009" spans="1:4" x14ac:dyDescent="0.3">
      <c r="A1009" t="s">
        <v>1962</v>
      </c>
      <c r="B1009" t="s">
        <v>1985</v>
      </c>
      <c r="C1009">
        <v>250</v>
      </c>
      <c r="D1009">
        <v>235</v>
      </c>
    </row>
    <row r="1010" spans="1:4" x14ac:dyDescent="0.3">
      <c r="A1010" t="s">
        <v>1962</v>
      </c>
      <c r="B1010" t="s">
        <v>1985</v>
      </c>
      <c r="C1010">
        <v>250</v>
      </c>
      <c r="D1010">
        <v>228</v>
      </c>
    </row>
    <row r="1011" spans="1:4" x14ac:dyDescent="0.3">
      <c r="A1011" t="s">
        <v>1962</v>
      </c>
      <c r="B1011" t="s">
        <v>1985</v>
      </c>
      <c r="C1011">
        <v>250</v>
      </c>
      <c r="D1011">
        <v>220</v>
      </c>
    </row>
    <row r="1012" spans="1:4" x14ac:dyDescent="0.3">
      <c r="A1012" t="s">
        <v>1962</v>
      </c>
      <c r="B1012" t="s">
        <v>1985</v>
      </c>
      <c r="C1012">
        <v>250</v>
      </c>
      <c r="D1012">
        <v>245</v>
      </c>
    </row>
    <row r="1013" spans="1:4" x14ac:dyDescent="0.3">
      <c r="A1013" t="s">
        <v>1962</v>
      </c>
      <c r="B1013" t="s">
        <v>1987</v>
      </c>
      <c r="C1013">
        <v>50</v>
      </c>
      <c r="D1013">
        <v>47</v>
      </c>
    </row>
    <row r="1014" spans="1:4" x14ac:dyDescent="0.3">
      <c r="A1014" t="s">
        <v>1962</v>
      </c>
      <c r="B1014" t="s">
        <v>1989</v>
      </c>
      <c r="C1014">
        <v>150</v>
      </c>
      <c r="D1014">
        <v>149</v>
      </c>
    </row>
    <row r="1015" spans="1:4" x14ac:dyDescent="0.3">
      <c r="A1015" t="s">
        <v>1962</v>
      </c>
      <c r="B1015" t="s">
        <v>1948</v>
      </c>
      <c r="C1015">
        <v>800</v>
      </c>
      <c r="D1015">
        <v>488</v>
      </c>
    </row>
    <row r="1016" spans="1:4" x14ac:dyDescent="0.3">
      <c r="A1016" t="s">
        <v>1962</v>
      </c>
      <c r="B1016" t="s">
        <v>1985</v>
      </c>
      <c r="C1016">
        <v>250</v>
      </c>
      <c r="D1016">
        <v>230</v>
      </c>
    </row>
    <row r="1017" spans="1:4" x14ac:dyDescent="0.3">
      <c r="A1017" t="s">
        <v>1962</v>
      </c>
      <c r="B1017" t="s">
        <v>1986</v>
      </c>
      <c r="C1017">
        <v>500</v>
      </c>
      <c r="D1017">
        <v>500</v>
      </c>
    </row>
    <row r="1018" spans="1:4" x14ac:dyDescent="0.3">
      <c r="A1018" t="s">
        <v>1962</v>
      </c>
      <c r="B1018" t="s">
        <v>1948</v>
      </c>
      <c r="C1018">
        <v>800</v>
      </c>
      <c r="D1018">
        <v>648</v>
      </c>
    </row>
    <row r="1019" spans="1:4" x14ac:dyDescent="0.3">
      <c r="A1019" t="s">
        <v>1962</v>
      </c>
      <c r="B1019" t="s">
        <v>1989</v>
      </c>
      <c r="C1019">
        <v>150</v>
      </c>
      <c r="D1019">
        <v>140</v>
      </c>
    </row>
    <row r="1020" spans="1:4" x14ac:dyDescent="0.3">
      <c r="A1020" t="s">
        <v>1962</v>
      </c>
      <c r="B1020" t="s">
        <v>1987</v>
      </c>
      <c r="C1020">
        <v>50</v>
      </c>
      <c r="D1020">
        <v>45</v>
      </c>
    </row>
    <row r="1021" spans="1:4" x14ac:dyDescent="0.3">
      <c r="A1021" t="s">
        <v>1962</v>
      </c>
      <c r="B1021" t="s">
        <v>1985</v>
      </c>
      <c r="C1021">
        <v>250</v>
      </c>
      <c r="D1021">
        <v>213</v>
      </c>
    </row>
    <row r="1022" spans="1:4" x14ac:dyDescent="0.3">
      <c r="A1022" t="s">
        <v>1962</v>
      </c>
      <c r="B1022" t="s">
        <v>1986</v>
      </c>
      <c r="C1022">
        <v>500</v>
      </c>
      <c r="D1022">
        <v>500</v>
      </c>
    </row>
    <row r="1023" spans="1:4" x14ac:dyDescent="0.3">
      <c r="A1023" t="s">
        <v>1962</v>
      </c>
      <c r="B1023" t="s">
        <v>1989</v>
      </c>
      <c r="C1023">
        <v>150</v>
      </c>
      <c r="D1023">
        <v>134</v>
      </c>
    </row>
    <row r="1024" spans="1:4" x14ac:dyDescent="0.3">
      <c r="A1024" t="s">
        <v>1962</v>
      </c>
      <c r="B1024" t="s">
        <v>1988</v>
      </c>
      <c r="C1024">
        <v>70</v>
      </c>
      <c r="D1024">
        <v>60</v>
      </c>
    </row>
    <row r="1025" spans="1:4" x14ac:dyDescent="0.3">
      <c r="A1025" t="s">
        <v>1962</v>
      </c>
      <c r="B1025" t="s">
        <v>1984</v>
      </c>
      <c r="C1025">
        <v>80</v>
      </c>
      <c r="D1025">
        <v>72</v>
      </c>
    </row>
    <row r="1026" spans="1:4" x14ac:dyDescent="0.3">
      <c r="A1026" t="s">
        <v>1962</v>
      </c>
      <c r="B1026" t="s">
        <v>1988</v>
      </c>
      <c r="C1026">
        <v>70</v>
      </c>
      <c r="D1026">
        <v>65</v>
      </c>
    </row>
    <row r="1027" spans="1:4" x14ac:dyDescent="0.3">
      <c r="A1027" t="s">
        <v>1962</v>
      </c>
      <c r="B1027" t="s">
        <v>1948</v>
      </c>
      <c r="C1027">
        <v>800</v>
      </c>
      <c r="D1027">
        <v>592</v>
      </c>
    </row>
    <row r="1028" spans="1:4" x14ac:dyDescent="0.3">
      <c r="A1028" t="s">
        <v>1962</v>
      </c>
      <c r="B1028" t="s">
        <v>1990</v>
      </c>
      <c r="C1028">
        <v>50</v>
      </c>
      <c r="D1028">
        <v>38</v>
      </c>
    </row>
    <row r="1029" spans="1:4" x14ac:dyDescent="0.3">
      <c r="A1029" t="s">
        <v>1962</v>
      </c>
      <c r="B1029" t="s">
        <v>1989</v>
      </c>
      <c r="C1029">
        <v>150</v>
      </c>
      <c r="D1029">
        <v>113</v>
      </c>
    </row>
    <row r="1030" spans="1:4" x14ac:dyDescent="0.3">
      <c r="A1030" t="s">
        <v>1962</v>
      </c>
      <c r="B1030" t="s">
        <v>1990</v>
      </c>
      <c r="C1030">
        <v>50</v>
      </c>
      <c r="D1030">
        <v>42</v>
      </c>
    </row>
    <row r="1031" spans="1:4" x14ac:dyDescent="0.3">
      <c r="A1031" t="s">
        <v>1962</v>
      </c>
      <c r="B1031" t="s">
        <v>1992</v>
      </c>
      <c r="C1031">
        <v>30</v>
      </c>
      <c r="D1031">
        <v>27</v>
      </c>
    </row>
    <row r="1032" spans="1:4" x14ac:dyDescent="0.3">
      <c r="A1032" t="s">
        <v>1962</v>
      </c>
      <c r="B1032" t="s">
        <v>1990</v>
      </c>
      <c r="C1032">
        <v>50</v>
      </c>
      <c r="D1032">
        <v>46</v>
      </c>
    </row>
    <row r="1033" spans="1:4" x14ac:dyDescent="0.3">
      <c r="A1033" t="s">
        <v>1962</v>
      </c>
      <c r="B1033" t="s">
        <v>1986</v>
      </c>
      <c r="C1033">
        <v>500</v>
      </c>
      <c r="D1033">
        <v>495</v>
      </c>
    </row>
    <row r="1034" spans="1:4" x14ac:dyDescent="0.3">
      <c r="A1034" t="s">
        <v>1962</v>
      </c>
      <c r="B1034" t="s">
        <v>1950</v>
      </c>
      <c r="C1034">
        <v>1000</v>
      </c>
      <c r="D1034">
        <v>650</v>
      </c>
    </row>
    <row r="1035" spans="1:4" x14ac:dyDescent="0.3">
      <c r="A1035" t="s">
        <v>1962</v>
      </c>
      <c r="B1035" t="s">
        <v>1992</v>
      </c>
      <c r="C1035">
        <v>30</v>
      </c>
      <c r="D1035">
        <v>20</v>
      </c>
    </row>
    <row r="1036" spans="1:4" x14ac:dyDescent="0.3">
      <c r="A1036" t="s">
        <v>1962</v>
      </c>
      <c r="B1036" t="s">
        <v>1987</v>
      </c>
      <c r="C1036">
        <v>50</v>
      </c>
      <c r="D1036">
        <v>35</v>
      </c>
    </row>
    <row r="1037" spans="1:4" x14ac:dyDescent="0.3">
      <c r="A1037" t="s">
        <v>1962</v>
      </c>
      <c r="B1037" t="s">
        <v>1985</v>
      </c>
      <c r="C1037">
        <v>250</v>
      </c>
      <c r="D1037">
        <v>160</v>
      </c>
    </row>
    <row r="1038" spans="1:4" x14ac:dyDescent="0.3">
      <c r="A1038" t="s">
        <v>1962</v>
      </c>
      <c r="B1038" t="s">
        <v>1991</v>
      </c>
      <c r="C1038">
        <v>500</v>
      </c>
      <c r="D1038">
        <v>360</v>
      </c>
    </row>
    <row r="1039" spans="1:4" x14ac:dyDescent="0.3">
      <c r="A1039" t="s">
        <v>1962</v>
      </c>
      <c r="B1039" t="s">
        <v>1992</v>
      </c>
      <c r="C1039">
        <v>30</v>
      </c>
      <c r="D1039">
        <v>25</v>
      </c>
    </row>
    <row r="1040" spans="1:4" x14ac:dyDescent="0.3">
      <c r="A1040" t="s">
        <v>1962</v>
      </c>
      <c r="B1040" t="s">
        <v>1991</v>
      </c>
      <c r="C1040">
        <v>500</v>
      </c>
      <c r="D1040">
        <v>420</v>
      </c>
    </row>
    <row r="1041" spans="1:4" x14ac:dyDescent="0.3">
      <c r="A1041" t="s">
        <v>1962</v>
      </c>
      <c r="B1041" t="s">
        <v>1986</v>
      </c>
      <c r="C1041">
        <v>500</v>
      </c>
      <c r="D1041">
        <v>495</v>
      </c>
    </row>
    <row r="1042" spans="1:4" x14ac:dyDescent="0.3">
      <c r="A1042" t="s">
        <v>1962</v>
      </c>
      <c r="B1042" t="s">
        <v>1950</v>
      </c>
      <c r="C1042">
        <v>1000</v>
      </c>
      <c r="D1042">
        <v>650</v>
      </c>
    </row>
    <row r="1043" spans="1:4" x14ac:dyDescent="0.3">
      <c r="A1043" t="s">
        <v>1962</v>
      </c>
      <c r="B1043" t="s">
        <v>1991</v>
      </c>
      <c r="C1043">
        <v>500</v>
      </c>
      <c r="D1043">
        <v>360</v>
      </c>
    </row>
    <row r="1044" spans="1:4" x14ac:dyDescent="0.3">
      <c r="A1044" t="s">
        <v>1963</v>
      </c>
      <c r="B1044" t="s">
        <v>1991</v>
      </c>
      <c r="C1044">
        <v>500</v>
      </c>
      <c r="D1044">
        <v>490</v>
      </c>
    </row>
    <row r="1045" spans="1:4" x14ac:dyDescent="0.3">
      <c r="A1045" t="s">
        <v>1963</v>
      </c>
      <c r="B1045" t="s">
        <v>1990</v>
      </c>
      <c r="C1045">
        <v>50</v>
      </c>
      <c r="D1045">
        <v>44</v>
      </c>
    </row>
    <row r="1046" spans="1:4" x14ac:dyDescent="0.3">
      <c r="A1046" t="s">
        <v>1963</v>
      </c>
      <c r="B1046" t="s">
        <v>1948</v>
      </c>
      <c r="C1046">
        <v>800</v>
      </c>
      <c r="D1046">
        <v>480</v>
      </c>
    </row>
    <row r="1047" spans="1:4" x14ac:dyDescent="0.3">
      <c r="A1047" t="s">
        <v>1963</v>
      </c>
      <c r="B1047" t="s">
        <v>1987</v>
      </c>
      <c r="C1047">
        <v>50</v>
      </c>
      <c r="D1047">
        <v>46</v>
      </c>
    </row>
    <row r="1048" spans="1:4" x14ac:dyDescent="0.3">
      <c r="A1048" t="s">
        <v>1963</v>
      </c>
      <c r="B1048" t="s">
        <v>1986</v>
      </c>
      <c r="C1048">
        <v>500</v>
      </c>
      <c r="D1048">
        <v>500</v>
      </c>
    </row>
    <row r="1049" spans="1:4" x14ac:dyDescent="0.3">
      <c r="A1049" t="s">
        <v>1963</v>
      </c>
      <c r="B1049" t="s">
        <v>1992</v>
      </c>
      <c r="C1049">
        <v>30</v>
      </c>
      <c r="D1049">
        <v>27</v>
      </c>
    </row>
    <row r="1050" spans="1:4" x14ac:dyDescent="0.3">
      <c r="A1050" t="s">
        <v>1963</v>
      </c>
      <c r="B1050" t="s">
        <v>1992</v>
      </c>
      <c r="C1050">
        <v>30</v>
      </c>
      <c r="D1050">
        <v>27</v>
      </c>
    </row>
    <row r="1051" spans="1:4" x14ac:dyDescent="0.3">
      <c r="A1051" t="s">
        <v>1963</v>
      </c>
      <c r="B1051" t="s">
        <v>1988</v>
      </c>
      <c r="C1051">
        <v>70</v>
      </c>
      <c r="D1051">
        <v>65</v>
      </c>
    </row>
    <row r="1052" spans="1:4" x14ac:dyDescent="0.3">
      <c r="A1052" t="s">
        <v>1963</v>
      </c>
      <c r="B1052" t="s">
        <v>1990</v>
      </c>
      <c r="C1052">
        <v>50</v>
      </c>
      <c r="D1052">
        <v>45</v>
      </c>
    </row>
    <row r="1053" spans="1:4" x14ac:dyDescent="0.3">
      <c r="A1053" t="s">
        <v>1963</v>
      </c>
      <c r="B1053" t="s">
        <v>1988</v>
      </c>
      <c r="C1053">
        <v>70</v>
      </c>
      <c r="D1053">
        <v>69</v>
      </c>
    </row>
    <row r="1054" spans="1:4" x14ac:dyDescent="0.3">
      <c r="A1054" t="s">
        <v>1963</v>
      </c>
      <c r="B1054" t="s">
        <v>1989</v>
      </c>
      <c r="C1054">
        <v>150</v>
      </c>
      <c r="D1054">
        <v>150</v>
      </c>
    </row>
    <row r="1055" spans="1:4" x14ac:dyDescent="0.3">
      <c r="A1055" t="s">
        <v>1963</v>
      </c>
      <c r="B1055" t="s">
        <v>1992</v>
      </c>
      <c r="C1055">
        <v>30</v>
      </c>
      <c r="D1055">
        <v>29</v>
      </c>
    </row>
    <row r="1056" spans="1:4" x14ac:dyDescent="0.3">
      <c r="A1056" t="s">
        <v>1963</v>
      </c>
      <c r="B1056" t="s">
        <v>1984</v>
      </c>
      <c r="C1056">
        <v>80</v>
      </c>
      <c r="D1056">
        <v>80</v>
      </c>
    </row>
    <row r="1057" spans="1:4" x14ac:dyDescent="0.3">
      <c r="A1057" t="s">
        <v>1963</v>
      </c>
      <c r="B1057" t="s">
        <v>1988</v>
      </c>
      <c r="C1057">
        <v>70</v>
      </c>
      <c r="D1057">
        <v>64</v>
      </c>
    </row>
    <row r="1058" spans="1:4" x14ac:dyDescent="0.3">
      <c r="A1058" t="s">
        <v>1963</v>
      </c>
      <c r="B1058" t="s">
        <v>1985</v>
      </c>
      <c r="C1058">
        <v>250</v>
      </c>
      <c r="D1058">
        <v>250</v>
      </c>
    </row>
    <row r="1059" spans="1:4" x14ac:dyDescent="0.3">
      <c r="A1059" t="s">
        <v>1963</v>
      </c>
      <c r="B1059" t="s">
        <v>1988</v>
      </c>
      <c r="C1059">
        <v>70</v>
      </c>
      <c r="D1059">
        <v>69</v>
      </c>
    </row>
    <row r="1060" spans="1:4" x14ac:dyDescent="0.3">
      <c r="A1060" t="s">
        <v>1963</v>
      </c>
      <c r="B1060" t="s">
        <v>1984</v>
      </c>
      <c r="C1060">
        <v>80</v>
      </c>
      <c r="D1060">
        <v>74</v>
      </c>
    </row>
    <row r="1061" spans="1:4" x14ac:dyDescent="0.3">
      <c r="A1061" t="s">
        <v>1963</v>
      </c>
      <c r="B1061" t="s">
        <v>1986</v>
      </c>
      <c r="C1061">
        <v>500</v>
      </c>
      <c r="D1061">
        <v>495</v>
      </c>
    </row>
    <row r="1062" spans="1:4" x14ac:dyDescent="0.3">
      <c r="A1062" t="s">
        <v>1963</v>
      </c>
      <c r="B1062" t="s">
        <v>1989</v>
      </c>
      <c r="C1062">
        <v>150</v>
      </c>
      <c r="D1062">
        <v>138</v>
      </c>
    </row>
    <row r="1063" spans="1:4" x14ac:dyDescent="0.3">
      <c r="A1063" t="s">
        <v>1963</v>
      </c>
      <c r="B1063" t="s">
        <v>1988</v>
      </c>
      <c r="C1063">
        <v>70</v>
      </c>
      <c r="D1063">
        <v>69</v>
      </c>
    </row>
    <row r="1064" spans="1:4" x14ac:dyDescent="0.3">
      <c r="A1064" t="s">
        <v>1963</v>
      </c>
      <c r="B1064" t="s">
        <v>1991</v>
      </c>
      <c r="C1064">
        <v>500</v>
      </c>
      <c r="D1064">
        <v>480</v>
      </c>
    </row>
    <row r="1065" spans="1:4" x14ac:dyDescent="0.3">
      <c r="A1065" t="s">
        <v>1963</v>
      </c>
      <c r="B1065" t="s">
        <v>1948</v>
      </c>
      <c r="C1065">
        <v>800</v>
      </c>
      <c r="D1065">
        <v>560</v>
      </c>
    </row>
    <row r="1066" spans="1:4" x14ac:dyDescent="0.3">
      <c r="A1066" t="s">
        <v>1963</v>
      </c>
      <c r="B1066" t="s">
        <v>1985</v>
      </c>
      <c r="C1066">
        <v>250</v>
      </c>
      <c r="D1066">
        <v>230</v>
      </c>
    </row>
    <row r="1067" spans="1:4" x14ac:dyDescent="0.3">
      <c r="A1067" t="s">
        <v>1963</v>
      </c>
      <c r="B1067" t="s">
        <v>1991</v>
      </c>
      <c r="C1067">
        <v>500</v>
      </c>
      <c r="D1067">
        <v>480</v>
      </c>
    </row>
    <row r="1068" spans="1:4" x14ac:dyDescent="0.3">
      <c r="A1068" t="s">
        <v>1963</v>
      </c>
      <c r="B1068" t="s">
        <v>1989</v>
      </c>
      <c r="C1068">
        <v>150</v>
      </c>
      <c r="D1068">
        <v>149</v>
      </c>
    </row>
    <row r="1069" spans="1:4" x14ac:dyDescent="0.3">
      <c r="A1069" t="s">
        <v>1963</v>
      </c>
      <c r="B1069" t="s">
        <v>1991</v>
      </c>
      <c r="C1069">
        <v>500</v>
      </c>
      <c r="D1069">
        <v>480</v>
      </c>
    </row>
    <row r="1070" spans="1:4" x14ac:dyDescent="0.3">
      <c r="A1070" t="s">
        <v>1963</v>
      </c>
      <c r="B1070" t="s">
        <v>1990</v>
      </c>
      <c r="C1070">
        <v>50</v>
      </c>
      <c r="D1070">
        <v>50</v>
      </c>
    </row>
    <row r="1071" spans="1:4" x14ac:dyDescent="0.3">
      <c r="A1071" t="s">
        <v>1963</v>
      </c>
      <c r="B1071" t="s">
        <v>1990</v>
      </c>
      <c r="C1071">
        <v>50</v>
      </c>
      <c r="D1071">
        <v>46</v>
      </c>
    </row>
    <row r="1072" spans="1:4" x14ac:dyDescent="0.3">
      <c r="A1072" t="s">
        <v>1963</v>
      </c>
      <c r="B1072" t="s">
        <v>1991</v>
      </c>
      <c r="C1072">
        <v>500</v>
      </c>
      <c r="D1072">
        <v>455</v>
      </c>
    </row>
    <row r="1073" spans="1:4" x14ac:dyDescent="0.3">
      <c r="A1073" t="s">
        <v>1963</v>
      </c>
      <c r="B1073" t="s">
        <v>1984</v>
      </c>
      <c r="C1073">
        <v>80</v>
      </c>
      <c r="D1073">
        <v>72</v>
      </c>
    </row>
    <row r="1074" spans="1:4" x14ac:dyDescent="0.3">
      <c r="A1074" t="s">
        <v>1963</v>
      </c>
      <c r="B1074" t="s">
        <v>1990</v>
      </c>
      <c r="C1074">
        <v>50</v>
      </c>
      <c r="D1074">
        <v>46</v>
      </c>
    </row>
    <row r="1075" spans="1:4" x14ac:dyDescent="0.3">
      <c r="A1075" t="s">
        <v>1963</v>
      </c>
      <c r="B1075" t="s">
        <v>1985</v>
      </c>
      <c r="C1075">
        <v>250</v>
      </c>
      <c r="D1075">
        <v>230</v>
      </c>
    </row>
    <row r="1076" spans="1:4" x14ac:dyDescent="0.3">
      <c r="A1076" t="s">
        <v>1963</v>
      </c>
      <c r="B1076" t="s">
        <v>1949</v>
      </c>
      <c r="C1076">
        <v>700</v>
      </c>
      <c r="D1076">
        <v>644</v>
      </c>
    </row>
    <row r="1077" spans="1:4" x14ac:dyDescent="0.3">
      <c r="A1077" t="s">
        <v>1963</v>
      </c>
      <c r="B1077" t="s">
        <v>1988</v>
      </c>
      <c r="C1077">
        <v>70</v>
      </c>
      <c r="D1077">
        <v>66</v>
      </c>
    </row>
    <row r="1078" spans="1:4" x14ac:dyDescent="0.3">
      <c r="A1078" t="s">
        <v>1963</v>
      </c>
      <c r="B1078" t="s">
        <v>1984</v>
      </c>
      <c r="C1078">
        <v>80</v>
      </c>
      <c r="D1078">
        <v>75</v>
      </c>
    </row>
    <row r="1079" spans="1:4" x14ac:dyDescent="0.3">
      <c r="A1079" t="s">
        <v>1963</v>
      </c>
      <c r="B1079" t="s">
        <v>1984</v>
      </c>
      <c r="C1079">
        <v>80</v>
      </c>
      <c r="D1079">
        <v>71</v>
      </c>
    </row>
    <row r="1080" spans="1:4" x14ac:dyDescent="0.3">
      <c r="A1080" t="s">
        <v>1963</v>
      </c>
      <c r="B1080" t="s">
        <v>1991</v>
      </c>
      <c r="C1080">
        <v>500</v>
      </c>
      <c r="D1080">
        <v>460</v>
      </c>
    </row>
    <row r="1081" spans="1:4" x14ac:dyDescent="0.3">
      <c r="A1081" t="s">
        <v>1963</v>
      </c>
      <c r="B1081" t="s">
        <v>1987</v>
      </c>
      <c r="C1081">
        <v>50</v>
      </c>
      <c r="D1081">
        <v>44</v>
      </c>
    </row>
    <row r="1082" spans="1:4" x14ac:dyDescent="0.3">
      <c r="A1082" t="s">
        <v>1963</v>
      </c>
      <c r="B1082" t="s">
        <v>1987</v>
      </c>
      <c r="C1082">
        <v>50</v>
      </c>
      <c r="D1082">
        <v>45</v>
      </c>
    </row>
    <row r="1083" spans="1:4" x14ac:dyDescent="0.3">
      <c r="A1083" t="s">
        <v>1963</v>
      </c>
      <c r="B1083" t="s">
        <v>1988</v>
      </c>
      <c r="C1083">
        <v>70</v>
      </c>
      <c r="D1083">
        <v>64</v>
      </c>
    </row>
    <row r="1084" spans="1:4" x14ac:dyDescent="0.3">
      <c r="A1084" t="s">
        <v>1963</v>
      </c>
      <c r="B1084" t="s">
        <v>1985</v>
      </c>
      <c r="C1084">
        <v>250</v>
      </c>
      <c r="D1084">
        <v>240</v>
      </c>
    </row>
    <row r="1085" spans="1:4" x14ac:dyDescent="0.3">
      <c r="A1085" t="s">
        <v>1963</v>
      </c>
      <c r="B1085" t="s">
        <v>1989</v>
      </c>
      <c r="C1085">
        <v>150</v>
      </c>
      <c r="D1085">
        <v>131</v>
      </c>
    </row>
    <row r="1086" spans="1:4" x14ac:dyDescent="0.3">
      <c r="A1086" t="s">
        <v>1963</v>
      </c>
      <c r="B1086" t="s">
        <v>1984</v>
      </c>
      <c r="C1086">
        <v>80</v>
      </c>
      <c r="D1086">
        <v>79</v>
      </c>
    </row>
    <row r="1087" spans="1:4" x14ac:dyDescent="0.3">
      <c r="A1087" t="s">
        <v>1963</v>
      </c>
      <c r="B1087" t="s">
        <v>1987</v>
      </c>
      <c r="C1087">
        <v>50</v>
      </c>
      <c r="D1087">
        <v>49</v>
      </c>
    </row>
    <row r="1088" spans="1:4" x14ac:dyDescent="0.3">
      <c r="A1088" t="s">
        <v>1963</v>
      </c>
      <c r="B1088" t="s">
        <v>1990</v>
      </c>
      <c r="C1088">
        <v>50</v>
      </c>
      <c r="D1088">
        <v>49</v>
      </c>
    </row>
    <row r="1089" spans="1:4" x14ac:dyDescent="0.3">
      <c r="A1089" t="s">
        <v>1963</v>
      </c>
      <c r="B1089" t="s">
        <v>1949</v>
      </c>
      <c r="C1089">
        <v>700</v>
      </c>
      <c r="D1089">
        <v>665</v>
      </c>
    </row>
    <row r="1090" spans="1:4" x14ac:dyDescent="0.3">
      <c r="A1090" t="s">
        <v>1963</v>
      </c>
      <c r="B1090" t="s">
        <v>1987</v>
      </c>
      <c r="C1090">
        <v>50</v>
      </c>
      <c r="D1090">
        <v>37</v>
      </c>
    </row>
    <row r="1091" spans="1:4" x14ac:dyDescent="0.3">
      <c r="A1091" t="s">
        <v>1963</v>
      </c>
      <c r="B1091" t="s">
        <v>1988</v>
      </c>
      <c r="C1091">
        <v>70</v>
      </c>
      <c r="D1091">
        <v>61</v>
      </c>
    </row>
    <row r="1092" spans="1:4" x14ac:dyDescent="0.3">
      <c r="A1092" t="s">
        <v>1963</v>
      </c>
      <c r="B1092" t="s">
        <v>1949</v>
      </c>
      <c r="C1092">
        <v>700</v>
      </c>
      <c r="D1092">
        <v>672</v>
      </c>
    </row>
    <row r="1093" spans="1:4" x14ac:dyDescent="0.3">
      <c r="A1093" t="s">
        <v>1963</v>
      </c>
      <c r="B1093" t="s">
        <v>1987</v>
      </c>
      <c r="C1093">
        <v>50</v>
      </c>
      <c r="D1093">
        <v>46</v>
      </c>
    </row>
    <row r="1094" spans="1:4" x14ac:dyDescent="0.3">
      <c r="A1094" t="s">
        <v>1963</v>
      </c>
      <c r="B1094" t="s">
        <v>1987</v>
      </c>
      <c r="C1094">
        <v>50</v>
      </c>
      <c r="D1094">
        <v>45</v>
      </c>
    </row>
    <row r="1095" spans="1:4" x14ac:dyDescent="0.3">
      <c r="A1095" t="s">
        <v>1963</v>
      </c>
      <c r="B1095" t="s">
        <v>1991</v>
      </c>
      <c r="C1095">
        <v>500</v>
      </c>
      <c r="D1095">
        <v>440</v>
      </c>
    </row>
    <row r="1096" spans="1:4" x14ac:dyDescent="0.3">
      <c r="A1096" t="s">
        <v>1963</v>
      </c>
      <c r="B1096" t="s">
        <v>1988</v>
      </c>
      <c r="C1096">
        <v>70</v>
      </c>
      <c r="D1096">
        <v>68</v>
      </c>
    </row>
    <row r="1097" spans="1:4" x14ac:dyDescent="0.3">
      <c r="A1097" t="s">
        <v>1963</v>
      </c>
      <c r="B1097" t="s">
        <v>1988</v>
      </c>
      <c r="C1097">
        <v>70</v>
      </c>
      <c r="D1097">
        <v>61</v>
      </c>
    </row>
    <row r="1098" spans="1:4" x14ac:dyDescent="0.3">
      <c r="A1098" t="s">
        <v>1963</v>
      </c>
      <c r="B1098" t="s">
        <v>1984</v>
      </c>
      <c r="C1098">
        <v>80</v>
      </c>
      <c r="D1098">
        <v>74</v>
      </c>
    </row>
    <row r="1099" spans="1:4" x14ac:dyDescent="0.3">
      <c r="A1099" t="s">
        <v>1963</v>
      </c>
      <c r="B1099" t="s">
        <v>1949</v>
      </c>
      <c r="C1099">
        <v>700</v>
      </c>
      <c r="D1099">
        <v>455</v>
      </c>
    </row>
    <row r="1100" spans="1:4" x14ac:dyDescent="0.3">
      <c r="A1100" t="s">
        <v>1963</v>
      </c>
      <c r="B1100" t="s">
        <v>1948</v>
      </c>
      <c r="C1100">
        <v>800</v>
      </c>
      <c r="D1100">
        <v>656</v>
      </c>
    </row>
    <row r="1101" spans="1:4" x14ac:dyDescent="0.3">
      <c r="A1101" t="s">
        <v>1963</v>
      </c>
      <c r="B1101" t="s">
        <v>1991</v>
      </c>
      <c r="C1101">
        <v>500</v>
      </c>
      <c r="D1101">
        <v>305</v>
      </c>
    </row>
    <row r="1102" spans="1:4" x14ac:dyDescent="0.3">
      <c r="A1102" t="s">
        <v>1963</v>
      </c>
      <c r="B1102" t="s">
        <v>1985</v>
      </c>
      <c r="C1102">
        <v>250</v>
      </c>
      <c r="D1102">
        <v>235</v>
      </c>
    </row>
    <row r="1103" spans="1:4" x14ac:dyDescent="0.3">
      <c r="A1103" t="s">
        <v>1963</v>
      </c>
      <c r="B1103" t="s">
        <v>1948</v>
      </c>
      <c r="C1103">
        <v>800</v>
      </c>
      <c r="D1103">
        <v>672</v>
      </c>
    </row>
    <row r="1104" spans="1:4" x14ac:dyDescent="0.3">
      <c r="A1104" t="s">
        <v>1963</v>
      </c>
      <c r="B1104" t="s">
        <v>1949</v>
      </c>
      <c r="C1104">
        <v>700</v>
      </c>
      <c r="D1104">
        <v>560</v>
      </c>
    </row>
    <row r="1105" spans="1:4" x14ac:dyDescent="0.3">
      <c r="A1105" t="s">
        <v>1963</v>
      </c>
      <c r="B1105" t="s">
        <v>1985</v>
      </c>
      <c r="C1105">
        <v>250</v>
      </c>
      <c r="D1105">
        <v>180</v>
      </c>
    </row>
    <row r="1106" spans="1:4" x14ac:dyDescent="0.3">
      <c r="A1106" t="s">
        <v>1963</v>
      </c>
      <c r="B1106" t="s">
        <v>1948</v>
      </c>
      <c r="C1106">
        <v>800</v>
      </c>
      <c r="D1106">
        <v>600</v>
      </c>
    </row>
    <row r="1107" spans="1:4" x14ac:dyDescent="0.3">
      <c r="A1107" t="s">
        <v>1963</v>
      </c>
      <c r="B1107" t="s">
        <v>1949</v>
      </c>
      <c r="C1107">
        <v>700</v>
      </c>
      <c r="D1107">
        <v>546</v>
      </c>
    </row>
    <row r="1108" spans="1:4" x14ac:dyDescent="0.3">
      <c r="A1108" t="s">
        <v>1963</v>
      </c>
      <c r="B1108" t="s">
        <v>1990</v>
      </c>
      <c r="C1108">
        <v>50</v>
      </c>
      <c r="D1108">
        <v>33</v>
      </c>
    </row>
    <row r="1109" spans="1:4" x14ac:dyDescent="0.3">
      <c r="A1109" t="s">
        <v>1963</v>
      </c>
      <c r="B1109" t="s">
        <v>1988</v>
      </c>
      <c r="C1109">
        <v>70</v>
      </c>
      <c r="D1109">
        <v>47</v>
      </c>
    </row>
    <row r="1110" spans="1:4" x14ac:dyDescent="0.3">
      <c r="A1110" t="s">
        <v>1963</v>
      </c>
      <c r="B1110" t="s">
        <v>1990</v>
      </c>
      <c r="C1110">
        <v>50</v>
      </c>
      <c r="D1110">
        <v>47</v>
      </c>
    </row>
    <row r="1111" spans="1:4" x14ac:dyDescent="0.3">
      <c r="A1111" t="s">
        <v>1963</v>
      </c>
      <c r="B1111" t="s">
        <v>1949</v>
      </c>
      <c r="C1111">
        <v>700</v>
      </c>
      <c r="D1111">
        <v>644</v>
      </c>
    </row>
    <row r="1112" spans="1:4" x14ac:dyDescent="0.3">
      <c r="A1112" t="s">
        <v>1963</v>
      </c>
      <c r="B1112" t="s">
        <v>1991</v>
      </c>
      <c r="C1112">
        <v>500</v>
      </c>
      <c r="D1112">
        <v>490</v>
      </c>
    </row>
    <row r="1113" spans="1:4" x14ac:dyDescent="0.3">
      <c r="A1113" t="s">
        <v>1963</v>
      </c>
      <c r="B1113" t="s">
        <v>1988</v>
      </c>
      <c r="C1113">
        <v>70</v>
      </c>
      <c r="D1113">
        <v>44</v>
      </c>
    </row>
    <row r="1114" spans="1:4" x14ac:dyDescent="0.3">
      <c r="A1114" t="s">
        <v>1963</v>
      </c>
      <c r="B1114" t="s">
        <v>1988</v>
      </c>
      <c r="C1114">
        <v>70</v>
      </c>
      <c r="D1114">
        <v>32</v>
      </c>
    </row>
    <row r="1115" spans="1:4" x14ac:dyDescent="0.3">
      <c r="A1115" t="s">
        <v>1963</v>
      </c>
      <c r="B1115" t="s">
        <v>1988</v>
      </c>
      <c r="C1115">
        <v>70</v>
      </c>
      <c r="D1115">
        <v>59</v>
      </c>
    </row>
    <row r="1116" spans="1:4" x14ac:dyDescent="0.3">
      <c r="A1116" t="s">
        <v>1963</v>
      </c>
      <c r="B1116" t="s">
        <v>1991</v>
      </c>
      <c r="C1116">
        <v>500</v>
      </c>
      <c r="D1116">
        <v>320</v>
      </c>
    </row>
    <row r="1117" spans="1:4" x14ac:dyDescent="0.3">
      <c r="A1117" t="s">
        <v>1963</v>
      </c>
      <c r="B1117" t="s">
        <v>1988</v>
      </c>
      <c r="C1117">
        <v>70</v>
      </c>
      <c r="D1117">
        <v>67</v>
      </c>
    </row>
    <row r="1118" spans="1:4" x14ac:dyDescent="0.3">
      <c r="A1118" t="s">
        <v>1963</v>
      </c>
      <c r="B1118" t="s">
        <v>1992</v>
      </c>
      <c r="C1118">
        <v>30</v>
      </c>
      <c r="D1118">
        <v>26</v>
      </c>
    </row>
    <row r="1119" spans="1:4" x14ac:dyDescent="0.3">
      <c r="A1119" t="s">
        <v>1963</v>
      </c>
      <c r="B1119" t="s">
        <v>1989</v>
      </c>
      <c r="C1119">
        <v>150</v>
      </c>
      <c r="D1119">
        <v>117</v>
      </c>
    </row>
    <row r="1120" spans="1:4" x14ac:dyDescent="0.3">
      <c r="A1120" t="s">
        <v>1963</v>
      </c>
      <c r="B1120" t="s">
        <v>1989</v>
      </c>
      <c r="C1120">
        <v>150</v>
      </c>
      <c r="D1120">
        <v>138</v>
      </c>
    </row>
    <row r="1121" spans="1:4" x14ac:dyDescent="0.3">
      <c r="A1121" t="s">
        <v>1963</v>
      </c>
      <c r="B1121" t="s">
        <v>1949</v>
      </c>
      <c r="C1121">
        <v>700</v>
      </c>
      <c r="D1121">
        <v>147</v>
      </c>
    </row>
    <row r="1122" spans="1:4" x14ac:dyDescent="0.3">
      <c r="A1122" t="s">
        <v>1963</v>
      </c>
      <c r="B1122" t="s">
        <v>1950</v>
      </c>
      <c r="C1122">
        <v>1000</v>
      </c>
      <c r="D1122">
        <v>510</v>
      </c>
    </row>
    <row r="1123" spans="1:4" x14ac:dyDescent="0.3">
      <c r="A1123" t="s">
        <v>1963</v>
      </c>
      <c r="B1123" t="s">
        <v>1986</v>
      </c>
      <c r="C1123">
        <v>500</v>
      </c>
      <c r="D1123">
        <v>490</v>
      </c>
    </row>
    <row r="1124" spans="1:4" x14ac:dyDescent="0.3">
      <c r="A1124" t="s">
        <v>1963</v>
      </c>
      <c r="B1124" t="s">
        <v>1985</v>
      </c>
      <c r="C1124">
        <v>250</v>
      </c>
      <c r="D1124">
        <v>225</v>
      </c>
    </row>
    <row r="1125" spans="1:4" x14ac:dyDescent="0.3">
      <c r="A1125" t="s">
        <v>1963</v>
      </c>
      <c r="B1125" t="s">
        <v>1988</v>
      </c>
      <c r="C1125">
        <v>70</v>
      </c>
      <c r="D1125">
        <v>69</v>
      </c>
    </row>
    <row r="1126" spans="1:4" x14ac:dyDescent="0.3">
      <c r="A1126" t="s">
        <v>1963</v>
      </c>
      <c r="B1126" t="s">
        <v>1949</v>
      </c>
      <c r="C1126">
        <v>700</v>
      </c>
      <c r="D1126">
        <v>651</v>
      </c>
    </row>
    <row r="1127" spans="1:4" x14ac:dyDescent="0.3">
      <c r="A1127" t="s">
        <v>1963</v>
      </c>
      <c r="B1127" t="s">
        <v>1985</v>
      </c>
      <c r="C1127">
        <v>250</v>
      </c>
      <c r="D1127">
        <v>178</v>
      </c>
    </row>
    <row r="1128" spans="1:4" x14ac:dyDescent="0.3">
      <c r="A1128" t="s">
        <v>1963</v>
      </c>
      <c r="B1128" t="s">
        <v>1988</v>
      </c>
      <c r="C1128">
        <v>70</v>
      </c>
      <c r="D1128">
        <v>57</v>
      </c>
    </row>
    <row r="1129" spans="1:4" x14ac:dyDescent="0.3">
      <c r="A1129" t="s">
        <v>1963</v>
      </c>
      <c r="B1129" t="s">
        <v>1991</v>
      </c>
      <c r="C1129">
        <v>500</v>
      </c>
      <c r="D1129">
        <v>350</v>
      </c>
    </row>
    <row r="1130" spans="1:4" x14ac:dyDescent="0.3">
      <c r="A1130" t="s">
        <v>1963</v>
      </c>
      <c r="B1130" t="s">
        <v>1990</v>
      </c>
      <c r="C1130">
        <v>50</v>
      </c>
      <c r="D1130">
        <v>48</v>
      </c>
    </row>
    <row r="1131" spans="1:4" x14ac:dyDescent="0.3">
      <c r="A1131" t="s">
        <v>1963</v>
      </c>
      <c r="B1131" t="s">
        <v>1950</v>
      </c>
      <c r="C1131">
        <v>1000</v>
      </c>
      <c r="D1131">
        <v>620</v>
      </c>
    </row>
    <row r="1132" spans="1:4" x14ac:dyDescent="0.3">
      <c r="A1132" t="s">
        <v>1964</v>
      </c>
      <c r="B1132" t="s">
        <v>1990</v>
      </c>
      <c r="C1132">
        <v>50</v>
      </c>
      <c r="D1132">
        <v>47</v>
      </c>
    </row>
    <row r="1133" spans="1:4" x14ac:dyDescent="0.3">
      <c r="A1133" t="s">
        <v>1964</v>
      </c>
      <c r="B1133" t="s">
        <v>1984</v>
      </c>
      <c r="C1133">
        <v>80</v>
      </c>
      <c r="D1133">
        <v>72</v>
      </c>
    </row>
    <row r="1134" spans="1:4" x14ac:dyDescent="0.3">
      <c r="A1134" t="s">
        <v>1964</v>
      </c>
      <c r="B1134" t="s">
        <v>1990</v>
      </c>
      <c r="C1134">
        <v>50</v>
      </c>
      <c r="D1134">
        <v>49</v>
      </c>
    </row>
    <row r="1135" spans="1:4" x14ac:dyDescent="0.3">
      <c r="A1135" t="s">
        <v>1964</v>
      </c>
      <c r="B1135" t="s">
        <v>1986</v>
      </c>
      <c r="C1135">
        <v>500</v>
      </c>
      <c r="D1135">
        <v>500</v>
      </c>
    </row>
    <row r="1136" spans="1:4" x14ac:dyDescent="0.3">
      <c r="A1136" t="s">
        <v>1964</v>
      </c>
      <c r="B1136" t="s">
        <v>1984</v>
      </c>
      <c r="C1136">
        <v>80</v>
      </c>
      <c r="D1136">
        <v>73</v>
      </c>
    </row>
    <row r="1137" spans="1:4" x14ac:dyDescent="0.3">
      <c r="A1137" t="s">
        <v>1964</v>
      </c>
      <c r="B1137" t="s">
        <v>1984</v>
      </c>
      <c r="C1137">
        <v>80</v>
      </c>
      <c r="D1137">
        <v>74</v>
      </c>
    </row>
    <row r="1138" spans="1:4" x14ac:dyDescent="0.3">
      <c r="A1138" t="s">
        <v>1964</v>
      </c>
      <c r="B1138" t="s">
        <v>1992</v>
      </c>
      <c r="C1138">
        <v>30</v>
      </c>
      <c r="D1138">
        <v>27</v>
      </c>
    </row>
    <row r="1139" spans="1:4" x14ac:dyDescent="0.3">
      <c r="A1139" t="s">
        <v>1964</v>
      </c>
      <c r="B1139" t="s">
        <v>1989</v>
      </c>
      <c r="C1139">
        <v>150</v>
      </c>
      <c r="D1139">
        <v>140</v>
      </c>
    </row>
    <row r="1140" spans="1:4" x14ac:dyDescent="0.3">
      <c r="A1140" t="s">
        <v>1964</v>
      </c>
      <c r="B1140" t="s">
        <v>1992</v>
      </c>
      <c r="C1140">
        <v>30</v>
      </c>
      <c r="D1140">
        <v>29</v>
      </c>
    </row>
    <row r="1141" spans="1:4" x14ac:dyDescent="0.3">
      <c r="A1141" t="s">
        <v>1964</v>
      </c>
      <c r="B1141" t="s">
        <v>1991</v>
      </c>
      <c r="C1141">
        <v>500</v>
      </c>
      <c r="D1141">
        <v>425</v>
      </c>
    </row>
    <row r="1142" spans="1:4" x14ac:dyDescent="0.3">
      <c r="A1142" t="s">
        <v>1964</v>
      </c>
      <c r="B1142" t="s">
        <v>1984</v>
      </c>
      <c r="C1142">
        <v>80</v>
      </c>
      <c r="D1142">
        <v>80</v>
      </c>
    </row>
    <row r="1143" spans="1:4" x14ac:dyDescent="0.3">
      <c r="A1143" t="s">
        <v>1964</v>
      </c>
      <c r="B1143" t="s">
        <v>1990</v>
      </c>
      <c r="C1143">
        <v>50</v>
      </c>
      <c r="D1143">
        <v>50</v>
      </c>
    </row>
    <row r="1144" spans="1:4" x14ac:dyDescent="0.3">
      <c r="A1144" t="s">
        <v>1964</v>
      </c>
      <c r="B1144" t="s">
        <v>1989</v>
      </c>
      <c r="C1144">
        <v>150</v>
      </c>
      <c r="D1144">
        <v>131</v>
      </c>
    </row>
    <row r="1145" spans="1:4" x14ac:dyDescent="0.3">
      <c r="A1145" t="s">
        <v>1964</v>
      </c>
      <c r="B1145" t="s">
        <v>1985</v>
      </c>
      <c r="C1145">
        <v>250</v>
      </c>
      <c r="D1145">
        <v>235</v>
      </c>
    </row>
    <row r="1146" spans="1:4" x14ac:dyDescent="0.3">
      <c r="A1146" t="s">
        <v>1964</v>
      </c>
      <c r="B1146" t="s">
        <v>1990</v>
      </c>
      <c r="C1146">
        <v>50</v>
      </c>
      <c r="D1146">
        <v>50</v>
      </c>
    </row>
    <row r="1147" spans="1:4" x14ac:dyDescent="0.3">
      <c r="A1147" t="s">
        <v>1964</v>
      </c>
      <c r="B1147" t="s">
        <v>1990</v>
      </c>
      <c r="C1147">
        <v>50</v>
      </c>
      <c r="D1147">
        <v>45</v>
      </c>
    </row>
    <row r="1148" spans="1:4" x14ac:dyDescent="0.3">
      <c r="A1148" t="s">
        <v>1964</v>
      </c>
      <c r="B1148" t="s">
        <v>1985</v>
      </c>
      <c r="C1148">
        <v>250</v>
      </c>
      <c r="D1148">
        <v>238</v>
      </c>
    </row>
    <row r="1149" spans="1:4" x14ac:dyDescent="0.3">
      <c r="A1149" t="s">
        <v>1964</v>
      </c>
      <c r="B1149" t="s">
        <v>1988</v>
      </c>
      <c r="C1149">
        <v>70</v>
      </c>
      <c r="D1149">
        <v>67</v>
      </c>
    </row>
    <row r="1150" spans="1:4" x14ac:dyDescent="0.3">
      <c r="A1150" t="s">
        <v>1964</v>
      </c>
      <c r="B1150" t="s">
        <v>1989</v>
      </c>
      <c r="C1150">
        <v>150</v>
      </c>
      <c r="D1150">
        <v>150</v>
      </c>
    </row>
    <row r="1151" spans="1:4" x14ac:dyDescent="0.3">
      <c r="A1151" t="s">
        <v>1964</v>
      </c>
      <c r="B1151" t="s">
        <v>1985</v>
      </c>
      <c r="C1151">
        <v>250</v>
      </c>
      <c r="D1151">
        <v>243</v>
      </c>
    </row>
    <row r="1152" spans="1:4" x14ac:dyDescent="0.3">
      <c r="A1152" t="s">
        <v>1964</v>
      </c>
      <c r="B1152" t="s">
        <v>1988</v>
      </c>
      <c r="C1152">
        <v>70</v>
      </c>
      <c r="D1152">
        <v>67</v>
      </c>
    </row>
    <row r="1153" spans="1:4" x14ac:dyDescent="0.3">
      <c r="A1153" t="s">
        <v>1964</v>
      </c>
      <c r="B1153" t="s">
        <v>1948</v>
      </c>
      <c r="C1153">
        <v>800</v>
      </c>
      <c r="D1153">
        <v>576</v>
      </c>
    </row>
    <row r="1154" spans="1:4" x14ac:dyDescent="0.3">
      <c r="A1154" t="s">
        <v>1964</v>
      </c>
      <c r="B1154" t="s">
        <v>1990</v>
      </c>
      <c r="C1154">
        <v>50</v>
      </c>
      <c r="D1154">
        <v>46</v>
      </c>
    </row>
    <row r="1155" spans="1:4" x14ac:dyDescent="0.3">
      <c r="A1155" t="s">
        <v>1964</v>
      </c>
      <c r="B1155" t="s">
        <v>1991</v>
      </c>
      <c r="C1155">
        <v>500</v>
      </c>
      <c r="D1155">
        <v>470</v>
      </c>
    </row>
    <row r="1156" spans="1:4" x14ac:dyDescent="0.3">
      <c r="A1156" t="s">
        <v>1964</v>
      </c>
      <c r="B1156" t="s">
        <v>1992</v>
      </c>
      <c r="C1156">
        <v>30</v>
      </c>
      <c r="D1156">
        <v>28</v>
      </c>
    </row>
    <row r="1157" spans="1:4" x14ac:dyDescent="0.3">
      <c r="A1157" t="s">
        <v>1964</v>
      </c>
      <c r="B1157" t="s">
        <v>1950</v>
      </c>
      <c r="C1157">
        <v>1000</v>
      </c>
      <c r="D1157">
        <v>560</v>
      </c>
    </row>
    <row r="1158" spans="1:4" x14ac:dyDescent="0.3">
      <c r="A1158" t="s">
        <v>1964</v>
      </c>
      <c r="B1158" t="s">
        <v>1988</v>
      </c>
      <c r="C1158">
        <v>70</v>
      </c>
      <c r="D1158">
        <v>65</v>
      </c>
    </row>
    <row r="1159" spans="1:4" x14ac:dyDescent="0.3">
      <c r="A1159" t="s">
        <v>1964</v>
      </c>
      <c r="B1159" t="s">
        <v>1991</v>
      </c>
      <c r="C1159">
        <v>500</v>
      </c>
      <c r="D1159">
        <v>480</v>
      </c>
    </row>
    <row r="1160" spans="1:4" x14ac:dyDescent="0.3">
      <c r="A1160" t="s">
        <v>1964</v>
      </c>
      <c r="B1160" t="s">
        <v>1984</v>
      </c>
      <c r="C1160">
        <v>80</v>
      </c>
      <c r="D1160">
        <v>78</v>
      </c>
    </row>
    <row r="1161" spans="1:4" x14ac:dyDescent="0.3">
      <c r="A1161" t="s">
        <v>1964</v>
      </c>
      <c r="B1161" t="s">
        <v>1987</v>
      </c>
      <c r="C1161">
        <v>50</v>
      </c>
      <c r="D1161">
        <v>49</v>
      </c>
    </row>
    <row r="1162" spans="1:4" x14ac:dyDescent="0.3">
      <c r="A1162" t="s">
        <v>1964</v>
      </c>
      <c r="B1162" t="s">
        <v>1985</v>
      </c>
      <c r="C1162">
        <v>250</v>
      </c>
      <c r="D1162">
        <v>243</v>
      </c>
    </row>
    <row r="1163" spans="1:4" x14ac:dyDescent="0.3">
      <c r="A1163" t="s">
        <v>1964</v>
      </c>
      <c r="B1163" t="s">
        <v>1990</v>
      </c>
      <c r="C1163">
        <v>50</v>
      </c>
      <c r="D1163">
        <v>45</v>
      </c>
    </row>
    <row r="1164" spans="1:4" x14ac:dyDescent="0.3">
      <c r="A1164" t="s">
        <v>1964</v>
      </c>
      <c r="B1164" t="s">
        <v>1985</v>
      </c>
      <c r="C1164">
        <v>250</v>
      </c>
      <c r="D1164">
        <v>225</v>
      </c>
    </row>
    <row r="1165" spans="1:4" x14ac:dyDescent="0.3">
      <c r="A1165" t="s">
        <v>1964</v>
      </c>
      <c r="B1165" t="s">
        <v>1987</v>
      </c>
      <c r="C1165">
        <v>50</v>
      </c>
      <c r="D1165">
        <v>49</v>
      </c>
    </row>
    <row r="1166" spans="1:4" x14ac:dyDescent="0.3">
      <c r="A1166" t="s">
        <v>1964</v>
      </c>
      <c r="B1166" t="s">
        <v>1992</v>
      </c>
      <c r="C1166">
        <v>30</v>
      </c>
      <c r="D1166">
        <v>29</v>
      </c>
    </row>
    <row r="1167" spans="1:4" x14ac:dyDescent="0.3">
      <c r="A1167" t="s">
        <v>1964</v>
      </c>
      <c r="B1167" t="s">
        <v>1987</v>
      </c>
      <c r="C1167">
        <v>50</v>
      </c>
      <c r="D1167">
        <v>47</v>
      </c>
    </row>
    <row r="1168" spans="1:4" x14ac:dyDescent="0.3">
      <c r="A1168" t="s">
        <v>1964</v>
      </c>
      <c r="B1168" t="s">
        <v>1987</v>
      </c>
      <c r="C1168">
        <v>50</v>
      </c>
      <c r="D1168">
        <v>43</v>
      </c>
    </row>
    <row r="1169" spans="1:4" x14ac:dyDescent="0.3">
      <c r="A1169" t="s">
        <v>1964</v>
      </c>
      <c r="B1169" t="s">
        <v>1992</v>
      </c>
      <c r="C1169">
        <v>30</v>
      </c>
      <c r="D1169">
        <v>26</v>
      </c>
    </row>
    <row r="1170" spans="1:4" x14ac:dyDescent="0.3">
      <c r="A1170" t="s">
        <v>1964</v>
      </c>
      <c r="B1170" t="s">
        <v>1990</v>
      </c>
      <c r="C1170">
        <v>50</v>
      </c>
      <c r="D1170">
        <v>43</v>
      </c>
    </row>
    <row r="1171" spans="1:4" x14ac:dyDescent="0.3">
      <c r="A1171" t="s">
        <v>1964</v>
      </c>
      <c r="B1171" t="s">
        <v>1990</v>
      </c>
      <c r="C1171">
        <v>50</v>
      </c>
      <c r="D1171">
        <v>47</v>
      </c>
    </row>
    <row r="1172" spans="1:4" x14ac:dyDescent="0.3">
      <c r="A1172" t="s">
        <v>1964</v>
      </c>
      <c r="B1172" t="s">
        <v>1948</v>
      </c>
      <c r="C1172">
        <v>800</v>
      </c>
      <c r="D1172">
        <v>448</v>
      </c>
    </row>
    <row r="1173" spans="1:4" x14ac:dyDescent="0.3">
      <c r="A1173" t="s">
        <v>1964</v>
      </c>
      <c r="B1173" t="s">
        <v>1984</v>
      </c>
      <c r="C1173">
        <v>80</v>
      </c>
      <c r="D1173">
        <v>59</v>
      </c>
    </row>
    <row r="1174" spans="1:4" x14ac:dyDescent="0.3">
      <c r="A1174" t="s">
        <v>1964</v>
      </c>
      <c r="B1174" t="s">
        <v>1948</v>
      </c>
      <c r="C1174">
        <v>800</v>
      </c>
      <c r="D1174">
        <v>632</v>
      </c>
    </row>
    <row r="1175" spans="1:4" x14ac:dyDescent="0.3">
      <c r="A1175" t="s">
        <v>1964</v>
      </c>
      <c r="B1175" t="s">
        <v>1984</v>
      </c>
      <c r="C1175">
        <v>80</v>
      </c>
      <c r="D1175">
        <v>77</v>
      </c>
    </row>
    <row r="1176" spans="1:4" x14ac:dyDescent="0.3">
      <c r="A1176" t="s">
        <v>1964</v>
      </c>
      <c r="B1176" t="s">
        <v>1985</v>
      </c>
      <c r="C1176">
        <v>250</v>
      </c>
      <c r="D1176">
        <v>220</v>
      </c>
    </row>
    <row r="1177" spans="1:4" x14ac:dyDescent="0.3">
      <c r="A1177" t="s">
        <v>1964</v>
      </c>
      <c r="B1177" t="s">
        <v>1949</v>
      </c>
      <c r="C1177">
        <v>700</v>
      </c>
      <c r="D1177">
        <v>658</v>
      </c>
    </row>
    <row r="1178" spans="1:4" x14ac:dyDescent="0.3">
      <c r="A1178" t="s">
        <v>1964</v>
      </c>
      <c r="B1178" t="s">
        <v>1986</v>
      </c>
      <c r="C1178">
        <v>500</v>
      </c>
      <c r="D1178">
        <v>490</v>
      </c>
    </row>
    <row r="1179" spans="1:4" x14ac:dyDescent="0.3">
      <c r="A1179" t="s">
        <v>1964</v>
      </c>
      <c r="B1179" t="s">
        <v>1985</v>
      </c>
      <c r="C1179">
        <v>250</v>
      </c>
      <c r="D1179">
        <v>190</v>
      </c>
    </row>
    <row r="1180" spans="1:4" x14ac:dyDescent="0.3">
      <c r="A1180" t="s">
        <v>1964</v>
      </c>
      <c r="B1180" t="s">
        <v>1948</v>
      </c>
      <c r="C1180">
        <v>800</v>
      </c>
      <c r="D1180">
        <v>616</v>
      </c>
    </row>
    <row r="1181" spans="1:4" x14ac:dyDescent="0.3">
      <c r="A1181" t="s">
        <v>1964</v>
      </c>
      <c r="B1181" t="s">
        <v>1987</v>
      </c>
      <c r="C1181">
        <v>50</v>
      </c>
      <c r="D1181">
        <v>37</v>
      </c>
    </row>
    <row r="1182" spans="1:4" x14ac:dyDescent="0.3">
      <c r="A1182" t="s">
        <v>1964</v>
      </c>
      <c r="B1182" t="s">
        <v>1949</v>
      </c>
      <c r="C1182">
        <v>700</v>
      </c>
      <c r="D1182">
        <v>651</v>
      </c>
    </row>
    <row r="1183" spans="1:4" x14ac:dyDescent="0.3">
      <c r="A1183" t="s">
        <v>1964</v>
      </c>
      <c r="B1183" t="s">
        <v>1988</v>
      </c>
      <c r="C1183">
        <v>70</v>
      </c>
      <c r="D1183">
        <v>43</v>
      </c>
    </row>
    <row r="1184" spans="1:4" x14ac:dyDescent="0.3">
      <c r="A1184" t="s">
        <v>1964</v>
      </c>
      <c r="B1184" t="s">
        <v>1984</v>
      </c>
      <c r="C1184">
        <v>80</v>
      </c>
      <c r="D1184">
        <v>54</v>
      </c>
    </row>
    <row r="1185" spans="1:4" x14ac:dyDescent="0.3">
      <c r="A1185" t="s">
        <v>1964</v>
      </c>
      <c r="B1185" t="s">
        <v>1989</v>
      </c>
      <c r="C1185">
        <v>150</v>
      </c>
      <c r="D1185">
        <v>134</v>
      </c>
    </row>
    <row r="1186" spans="1:4" x14ac:dyDescent="0.3">
      <c r="A1186" t="s">
        <v>1964</v>
      </c>
      <c r="B1186" t="s">
        <v>1991</v>
      </c>
      <c r="C1186">
        <v>500</v>
      </c>
      <c r="D1186">
        <v>400</v>
      </c>
    </row>
    <row r="1187" spans="1:4" x14ac:dyDescent="0.3">
      <c r="A1187" t="s">
        <v>1964</v>
      </c>
      <c r="B1187" t="s">
        <v>1988</v>
      </c>
      <c r="C1187">
        <v>70</v>
      </c>
      <c r="D1187">
        <v>56</v>
      </c>
    </row>
    <row r="1188" spans="1:4" x14ac:dyDescent="0.3">
      <c r="A1188" t="s">
        <v>1964</v>
      </c>
      <c r="B1188" t="s">
        <v>1948</v>
      </c>
      <c r="C1188">
        <v>800</v>
      </c>
      <c r="D1188">
        <v>624</v>
      </c>
    </row>
    <row r="1189" spans="1:4" x14ac:dyDescent="0.3">
      <c r="A1189" t="s">
        <v>1964</v>
      </c>
      <c r="B1189" t="s">
        <v>1989</v>
      </c>
      <c r="C1189">
        <v>150</v>
      </c>
      <c r="D1189">
        <v>150</v>
      </c>
    </row>
    <row r="1190" spans="1:4" x14ac:dyDescent="0.3">
      <c r="A1190" t="s">
        <v>1964</v>
      </c>
      <c r="B1190" t="s">
        <v>1985</v>
      </c>
      <c r="C1190">
        <v>250</v>
      </c>
      <c r="D1190">
        <v>198</v>
      </c>
    </row>
    <row r="1191" spans="1:4" x14ac:dyDescent="0.3">
      <c r="A1191" t="s">
        <v>1964</v>
      </c>
      <c r="B1191" t="s">
        <v>1987</v>
      </c>
      <c r="C1191">
        <v>50</v>
      </c>
      <c r="D1191">
        <v>50</v>
      </c>
    </row>
    <row r="1192" spans="1:4" x14ac:dyDescent="0.3">
      <c r="A1192" t="s">
        <v>1964</v>
      </c>
      <c r="B1192" t="s">
        <v>1990</v>
      </c>
      <c r="C1192">
        <v>50</v>
      </c>
      <c r="D1192">
        <v>45</v>
      </c>
    </row>
    <row r="1193" spans="1:4" x14ac:dyDescent="0.3">
      <c r="A1193" t="s">
        <v>1964</v>
      </c>
      <c r="B1193" t="s">
        <v>1984</v>
      </c>
      <c r="C1193">
        <v>80</v>
      </c>
      <c r="D1193">
        <v>71</v>
      </c>
    </row>
    <row r="1194" spans="1:4" x14ac:dyDescent="0.3">
      <c r="A1194" t="s">
        <v>1964</v>
      </c>
      <c r="B1194" t="s">
        <v>1990</v>
      </c>
      <c r="C1194">
        <v>50</v>
      </c>
      <c r="D1194">
        <v>36</v>
      </c>
    </row>
    <row r="1195" spans="1:4" x14ac:dyDescent="0.3">
      <c r="A1195" t="s">
        <v>1964</v>
      </c>
      <c r="B1195" t="s">
        <v>1950</v>
      </c>
      <c r="C1195">
        <v>1000</v>
      </c>
      <c r="D1195">
        <v>510</v>
      </c>
    </row>
    <row r="1196" spans="1:4" x14ac:dyDescent="0.3">
      <c r="A1196" t="s">
        <v>1964</v>
      </c>
      <c r="B1196" t="s">
        <v>1987</v>
      </c>
      <c r="C1196">
        <v>50</v>
      </c>
      <c r="D1196">
        <v>40</v>
      </c>
    </row>
    <row r="1197" spans="1:4" x14ac:dyDescent="0.3">
      <c r="A1197" t="s">
        <v>1964</v>
      </c>
      <c r="B1197" t="s">
        <v>1986</v>
      </c>
      <c r="C1197">
        <v>500</v>
      </c>
      <c r="D1197">
        <v>500</v>
      </c>
    </row>
    <row r="1198" spans="1:4" x14ac:dyDescent="0.3">
      <c r="A1198" t="s">
        <v>1964</v>
      </c>
      <c r="B1198" t="s">
        <v>1992</v>
      </c>
      <c r="C1198">
        <v>30</v>
      </c>
      <c r="D1198">
        <v>21</v>
      </c>
    </row>
    <row r="1199" spans="1:4" x14ac:dyDescent="0.3">
      <c r="A1199" t="s">
        <v>1964</v>
      </c>
      <c r="B1199" t="s">
        <v>1990</v>
      </c>
      <c r="C1199">
        <v>50</v>
      </c>
      <c r="D1199">
        <v>48</v>
      </c>
    </row>
    <row r="1200" spans="1:4" x14ac:dyDescent="0.3">
      <c r="A1200" t="s">
        <v>1965</v>
      </c>
      <c r="B1200" t="s">
        <v>1990</v>
      </c>
      <c r="C1200">
        <v>50</v>
      </c>
      <c r="D1200">
        <v>45</v>
      </c>
    </row>
    <row r="1201" spans="1:4" x14ac:dyDescent="0.3">
      <c r="A1201" t="s">
        <v>1965</v>
      </c>
      <c r="B1201" t="s">
        <v>1950</v>
      </c>
      <c r="C1201">
        <v>1000</v>
      </c>
      <c r="D1201">
        <v>590</v>
      </c>
    </row>
    <row r="1202" spans="1:4" x14ac:dyDescent="0.3">
      <c r="A1202" t="s">
        <v>1965</v>
      </c>
      <c r="B1202" t="s">
        <v>1949</v>
      </c>
      <c r="C1202">
        <v>700</v>
      </c>
      <c r="D1202">
        <v>651</v>
      </c>
    </row>
    <row r="1203" spans="1:4" x14ac:dyDescent="0.3">
      <c r="A1203" t="s">
        <v>1965</v>
      </c>
      <c r="B1203" t="s">
        <v>1989</v>
      </c>
      <c r="C1203">
        <v>150</v>
      </c>
      <c r="D1203">
        <v>129</v>
      </c>
    </row>
    <row r="1204" spans="1:4" x14ac:dyDescent="0.3">
      <c r="A1204" t="s">
        <v>1965</v>
      </c>
      <c r="B1204" t="s">
        <v>1992</v>
      </c>
      <c r="C1204">
        <v>30</v>
      </c>
      <c r="D1204">
        <v>29</v>
      </c>
    </row>
    <row r="1205" spans="1:4" x14ac:dyDescent="0.3">
      <c r="A1205" t="s">
        <v>1965</v>
      </c>
      <c r="B1205" t="s">
        <v>1986</v>
      </c>
      <c r="C1205">
        <v>500</v>
      </c>
      <c r="D1205">
        <v>490</v>
      </c>
    </row>
    <row r="1206" spans="1:4" x14ac:dyDescent="0.3">
      <c r="A1206" t="s">
        <v>1965</v>
      </c>
      <c r="B1206" t="s">
        <v>1948</v>
      </c>
      <c r="C1206">
        <v>800</v>
      </c>
      <c r="D1206">
        <v>488</v>
      </c>
    </row>
    <row r="1207" spans="1:4" x14ac:dyDescent="0.3">
      <c r="A1207" t="s">
        <v>1965</v>
      </c>
      <c r="B1207" t="s">
        <v>1992</v>
      </c>
      <c r="C1207">
        <v>30</v>
      </c>
      <c r="D1207">
        <v>27</v>
      </c>
    </row>
    <row r="1208" spans="1:4" x14ac:dyDescent="0.3">
      <c r="A1208" t="s">
        <v>1965</v>
      </c>
      <c r="B1208" t="s">
        <v>1984</v>
      </c>
      <c r="C1208">
        <v>80</v>
      </c>
      <c r="D1208">
        <v>74</v>
      </c>
    </row>
    <row r="1209" spans="1:4" x14ac:dyDescent="0.3">
      <c r="A1209" t="s">
        <v>1965</v>
      </c>
      <c r="B1209" t="s">
        <v>1989</v>
      </c>
      <c r="C1209">
        <v>150</v>
      </c>
      <c r="D1209">
        <v>147</v>
      </c>
    </row>
    <row r="1210" spans="1:4" x14ac:dyDescent="0.3">
      <c r="A1210" t="s">
        <v>1965</v>
      </c>
      <c r="B1210" t="s">
        <v>1985</v>
      </c>
      <c r="C1210">
        <v>250</v>
      </c>
      <c r="D1210">
        <v>230</v>
      </c>
    </row>
    <row r="1211" spans="1:4" x14ac:dyDescent="0.3">
      <c r="A1211" t="s">
        <v>1965</v>
      </c>
      <c r="B1211" t="s">
        <v>1985</v>
      </c>
      <c r="C1211">
        <v>250</v>
      </c>
      <c r="D1211">
        <v>235</v>
      </c>
    </row>
    <row r="1212" spans="1:4" x14ac:dyDescent="0.3">
      <c r="A1212" t="s">
        <v>1965</v>
      </c>
      <c r="B1212" t="s">
        <v>1984</v>
      </c>
      <c r="C1212">
        <v>80</v>
      </c>
      <c r="D1212">
        <v>80</v>
      </c>
    </row>
    <row r="1213" spans="1:4" x14ac:dyDescent="0.3">
      <c r="A1213" t="s">
        <v>1965</v>
      </c>
      <c r="B1213" t="s">
        <v>1991</v>
      </c>
      <c r="C1213">
        <v>500</v>
      </c>
      <c r="D1213">
        <v>470</v>
      </c>
    </row>
    <row r="1214" spans="1:4" x14ac:dyDescent="0.3">
      <c r="A1214" t="s">
        <v>1965</v>
      </c>
      <c r="B1214" t="s">
        <v>1991</v>
      </c>
      <c r="C1214">
        <v>500</v>
      </c>
      <c r="D1214">
        <v>470</v>
      </c>
    </row>
    <row r="1215" spans="1:4" x14ac:dyDescent="0.3">
      <c r="A1215" t="s">
        <v>1965</v>
      </c>
      <c r="B1215" t="s">
        <v>1992</v>
      </c>
      <c r="C1215">
        <v>30</v>
      </c>
      <c r="D1215">
        <v>30</v>
      </c>
    </row>
    <row r="1216" spans="1:4" x14ac:dyDescent="0.3">
      <c r="A1216" t="s">
        <v>1965</v>
      </c>
      <c r="B1216" t="s">
        <v>1984</v>
      </c>
      <c r="C1216">
        <v>80</v>
      </c>
      <c r="D1216">
        <v>69</v>
      </c>
    </row>
    <row r="1217" spans="1:4" x14ac:dyDescent="0.3">
      <c r="A1217" t="s">
        <v>1965</v>
      </c>
      <c r="B1217" t="s">
        <v>1990</v>
      </c>
      <c r="C1217">
        <v>50</v>
      </c>
      <c r="D1217">
        <v>47</v>
      </c>
    </row>
    <row r="1218" spans="1:4" x14ac:dyDescent="0.3">
      <c r="A1218" t="s">
        <v>1965</v>
      </c>
      <c r="B1218" t="s">
        <v>1989</v>
      </c>
      <c r="C1218">
        <v>150</v>
      </c>
      <c r="D1218">
        <v>146</v>
      </c>
    </row>
    <row r="1219" spans="1:4" x14ac:dyDescent="0.3">
      <c r="A1219" t="s">
        <v>1965</v>
      </c>
      <c r="B1219" t="s">
        <v>1949</v>
      </c>
      <c r="C1219">
        <v>700</v>
      </c>
      <c r="D1219">
        <v>602</v>
      </c>
    </row>
    <row r="1220" spans="1:4" x14ac:dyDescent="0.3">
      <c r="A1220" t="s">
        <v>1965</v>
      </c>
      <c r="B1220" t="s">
        <v>1988</v>
      </c>
      <c r="C1220">
        <v>70</v>
      </c>
      <c r="D1220">
        <v>67</v>
      </c>
    </row>
    <row r="1221" spans="1:4" x14ac:dyDescent="0.3">
      <c r="A1221" t="s">
        <v>1965</v>
      </c>
      <c r="B1221" t="s">
        <v>1986</v>
      </c>
      <c r="C1221">
        <v>500</v>
      </c>
      <c r="D1221">
        <v>490</v>
      </c>
    </row>
    <row r="1222" spans="1:4" x14ac:dyDescent="0.3">
      <c r="A1222" t="s">
        <v>1965</v>
      </c>
      <c r="B1222" t="s">
        <v>1985</v>
      </c>
      <c r="C1222">
        <v>250</v>
      </c>
      <c r="D1222">
        <v>235</v>
      </c>
    </row>
    <row r="1223" spans="1:4" x14ac:dyDescent="0.3">
      <c r="A1223" t="s">
        <v>1965</v>
      </c>
      <c r="B1223" t="s">
        <v>1949</v>
      </c>
      <c r="C1223">
        <v>700</v>
      </c>
      <c r="D1223">
        <v>623</v>
      </c>
    </row>
    <row r="1224" spans="1:4" x14ac:dyDescent="0.3">
      <c r="A1224" t="s">
        <v>1965</v>
      </c>
      <c r="B1224" t="s">
        <v>1992</v>
      </c>
      <c r="C1224">
        <v>30</v>
      </c>
      <c r="D1224">
        <v>27</v>
      </c>
    </row>
    <row r="1225" spans="1:4" x14ac:dyDescent="0.3">
      <c r="A1225" t="s">
        <v>1965</v>
      </c>
      <c r="B1225" t="s">
        <v>1992</v>
      </c>
      <c r="C1225">
        <v>30</v>
      </c>
      <c r="D1225">
        <v>29</v>
      </c>
    </row>
    <row r="1226" spans="1:4" x14ac:dyDescent="0.3">
      <c r="A1226" t="s">
        <v>1965</v>
      </c>
      <c r="B1226" t="s">
        <v>1990</v>
      </c>
      <c r="C1226">
        <v>50</v>
      </c>
      <c r="D1226">
        <v>32</v>
      </c>
    </row>
    <row r="1227" spans="1:4" x14ac:dyDescent="0.3">
      <c r="A1227" t="s">
        <v>1965</v>
      </c>
      <c r="B1227" t="s">
        <v>1988</v>
      </c>
      <c r="C1227">
        <v>70</v>
      </c>
      <c r="D1227">
        <v>48</v>
      </c>
    </row>
    <row r="1228" spans="1:4" x14ac:dyDescent="0.3">
      <c r="A1228" t="s">
        <v>1965</v>
      </c>
      <c r="B1228" t="s">
        <v>1989</v>
      </c>
      <c r="C1228">
        <v>150</v>
      </c>
      <c r="D1228">
        <v>144</v>
      </c>
    </row>
    <row r="1229" spans="1:4" x14ac:dyDescent="0.3">
      <c r="A1229" t="s">
        <v>1965</v>
      </c>
      <c r="B1229" t="s">
        <v>1948</v>
      </c>
      <c r="C1229">
        <v>800</v>
      </c>
      <c r="D1229">
        <v>656</v>
      </c>
    </row>
    <row r="1230" spans="1:4" x14ac:dyDescent="0.3">
      <c r="A1230" t="s">
        <v>1965</v>
      </c>
      <c r="B1230" t="s">
        <v>1992</v>
      </c>
      <c r="C1230">
        <v>30</v>
      </c>
      <c r="D1230">
        <v>21</v>
      </c>
    </row>
    <row r="1231" spans="1:4" x14ac:dyDescent="0.3">
      <c r="A1231" t="s">
        <v>1965</v>
      </c>
      <c r="B1231" t="s">
        <v>1986</v>
      </c>
      <c r="C1231">
        <v>500</v>
      </c>
      <c r="D1231">
        <v>495</v>
      </c>
    </row>
    <row r="1232" spans="1:4" x14ac:dyDescent="0.3">
      <c r="A1232" t="s">
        <v>1965</v>
      </c>
      <c r="B1232" t="s">
        <v>1991</v>
      </c>
      <c r="C1232">
        <v>500</v>
      </c>
      <c r="D1232">
        <v>345</v>
      </c>
    </row>
    <row r="1233" spans="1:4" x14ac:dyDescent="0.3">
      <c r="A1233" t="s">
        <v>1965</v>
      </c>
      <c r="B1233" t="s">
        <v>1984</v>
      </c>
      <c r="C1233">
        <v>80</v>
      </c>
      <c r="D1233">
        <v>72</v>
      </c>
    </row>
    <row r="1234" spans="1:4" x14ac:dyDescent="0.3">
      <c r="A1234" t="s">
        <v>1965</v>
      </c>
      <c r="B1234" t="s">
        <v>1990</v>
      </c>
      <c r="C1234">
        <v>50</v>
      </c>
      <c r="D1234">
        <v>43</v>
      </c>
    </row>
    <row r="1235" spans="1:4" x14ac:dyDescent="0.3">
      <c r="A1235" t="s">
        <v>1965</v>
      </c>
      <c r="B1235" t="s">
        <v>1988</v>
      </c>
      <c r="C1235">
        <v>70</v>
      </c>
      <c r="D1235">
        <v>58</v>
      </c>
    </row>
    <row r="1236" spans="1:4" x14ac:dyDescent="0.3">
      <c r="A1236" t="s">
        <v>1965</v>
      </c>
      <c r="B1236" t="s">
        <v>1990</v>
      </c>
      <c r="C1236">
        <v>50</v>
      </c>
      <c r="D1236">
        <v>32</v>
      </c>
    </row>
    <row r="1237" spans="1:4" x14ac:dyDescent="0.3">
      <c r="A1237" t="s">
        <v>1965</v>
      </c>
      <c r="B1237" t="s">
        <v>1989</v>
      </c>
      <c r="C1237">
        <v>150</v>
      </c>
      <c r="D1237">
        <v>140</v>
      </c>
    </row>
    <row r="1238" spans="1:4" x14ac:dyDescent="0.3">
      <c r="A1238" t="s">
        <v>1965</v>
      </c>
      <c r="B1238" t="s">
        <v>1985</v>
      </c>
      <c r="C1238">
        <v>250</v>
      </c>
      <c r="D1238">
        <v>220</v>
      </c>
    </row>
    <row r="1239" spans="1:4" x14ac:dyDescent="0.3">
      <c r="A1239" t="s">
        <v>1965</v>
      </c>
      <c r="B1239" t="s">
        <v>1984</v>
      </c>
      <c r="C1239">
        <v>80</v>
      </c>
      <c r="D1239">
        <v>60</v>
      </c>
    </row>
    <row r="1240" spans="1:4" x14ac:dyDescent="0.3">
      <c r="A1240" t="s">
        <v>1965</v>
      </c>
      <c r="B1240" t="s">
        <v>1987</v>
      </c>
      <c r="C1240">
        <v>50</v>
      </c>
      <c r="D1240">
        <v>45</v>
      </c>
    </row>
    <row r="1241" spans="1:4" x14ac:dyDescent="0.3">
      <c r="A1241" t="s">
        <v>1965</v>
      </c>
      <c r="B1241" t="s">
        <v>1984</v>
      </c>
      <c r="C1241">
        <v>80</v>
      </c>
      <c r="D1241">
        <v>75</v>
      </c>
    </row>
    <row r="1242" spans="1:4" x14ac:dyDescent="0.3">
      <c r="A1242" t="s">
        <v>1965</v>
      </c>
      <c r="B1242" t="s">
        <v>1987</v>
      </c>
      <c r="C1242">
        <v>50</v>
      </c>
      <c r="D1242">
        <v>48</v>
      </c>
    </row>
    <row r="1243" spans="1:4" x14ac:dyDescent="0.3">
      <c r="A1243" t="s">
        <v>1965</v>
      </c>
      <c r="B1243" t="s">
        <v>1988</v>
      </c>
      <c r="C1243">
        <v>70</v>
      </c>
      <c r="D1243">
        <v>52</v>
      </c>
    </row>
    <row r="1244" spans="1:4" x14ac:dyDescent="0.3">
      <c r="A1244" t="s">
        <v>1965</v>
      </c>
      <c r="B1244" t="s">
        <v>1991</v>
      </c>
      <c r="C1244">
        <v>500</v>
      </c>
      <c r="D1244">
        <v>430</v>
      </c>
    </row>
    <row r="1245" spans="1:4" x14ac:dyDescent="0.3">
      <c r="A1245" t="s">
        <v>1965</v>
      </c>
      <c r="B1245" t="s">
        <v>1987</v>
      </c>
      <c r="C1245">
        <v>50</v>
      </c>
      <c r="D1245">
        <v>39</v>
      </c>
    </row>
    <row r="1246" spans="1:4" x14ac:dyDescent="0.3">
      <c r="A1246" t="s">
        <v>1965</v>
      </c>
      <c r="B1246" t="s">
        <v>1987</v>
      </c>
      <c r="C1246">
        <v>50</v>
      </c>
      <c r="D1246">
        <v>47</v>
      </c>
    </row>
    <row r="1247" spans="1:4" x14ac:dyDescent="0.3">
      <c r="A1247" t="s">
        <v>1965</v>
      </c>
      <c r="B1247" t="s">
        <v>1992</v>
      </c>
      <c r="C1247">
        <v>30</v>
      </c>
      <c r="D1247">
        <v>25</v>
      </c>
    </row>
    <row r="1248" spans="1:4" x14ac:dyDescent="0.3">
      <c r="A1248" t="s">
        <v>1965</v>
      </c>
      <c r="B1248" t="s">
        <v>1948</v>
      </c>
      <c r="C1248">
        <v>800</v>
      </c>
      <c r="D1248">
        <v>544</v>
      </c>
    </row>
    <row r="1249" spans="1:4" x14ac:dyDescent="0.3">
      <c r="A1249" t="s">
        <v>1966</v>
      </c>
      <c r="B1249" t="s">
        <v>1986</v>
      </c>
      <c r="C1249">
        <v>500</v>
      </c>
      <c r="D1249">
        <v>490</v>
      </c>
    </row>
    <row r="1250" spans="1:4" x14ac:dyDescent="0.3">
      <c r="A1250" t="s">
        <v>1966</v>
      </c>
      <c r="B1250" t="s">
        <v>1992</v>
      </c>
      <c r="C1250">
        <v>30</v>
      </c>
      <c r="D1250">
        <v>28</v>
      </c>
    </row>
    <row r="1251" spans="1:4" x14ac:dyDescent="0.3">
      <c r="A1251" t="s">
        <v>1966</v>
      </c>
      <c r="B1251" t="s">
        <v>1990</v>
      </c>
      <c r="C1251">
        <v>50</v>
      </c>
      <c r="D1251">
        <v>44</v>
      </c>
    </row>
    <row r="1252" spans="1:4" x14ac:dyDescent="0.3">
      <c r="A1252" t="s">
        <v>1966</v>
      </c>
      <c r="B1252" t="s">
        <v>1988</v>
      </c>
      <c r="C1252">
        <v>70</v>
      </c>
      <c r="D1252">
        <v>65</v>
      </c>
    </row>
    <row r="1253" spans="1:4" x14ac:dyDescent="0.3">
      <c r="A1253" t="s">
        <v>1966</v>
      </c>
      <c r="B1253" t="s">
        <v>1990</v>
      </c>
      <c r="C1253">
        <v>50</v>
      </c>
      <c r="D1253">
        <v>49</v>
      </c>
    </row>
    <row r="1254" spans="1:4" x14ac:dyDescent="0.3">
      <c r="A1254" t="s">
        <v>1966</v>
      </c>
      <c r="B1254" t="s">
        <v>1986</v>
      </c>
      <c r="C1254">
        <v>500</v>
      </c>
      <c r="D1254">
        <v>500</v>
      </c>
    </row>
    <row r="1255" spans="1:4" x14ac:dyDescent="0.3">
      <c r="A1255" t="s">
        <v>1966</v>
      </c>
      <c r="B1255" t="s">
        <v>1984</v>
      </c>
      <c r="C1255">
        <v>80</v>
      </c>
      <c r="D1255">
        <v>74</v>
      </c>
    </row>
    <row r="1256" spans="1:4" x14ac:dyDescent="0.3">
      <c r="A1256" t="s">
        <v>1966</v>
      </c>
      <c r="B1256" t="s">
        <v>1992</v>
      </c>
      <c r="C1256">
        <v>30</v>
      </c>
      <c r="D1256">
        <v>26</v>
      </c>
    </row>
    <row r="1257" spans="1:4" x14ac:dyDescent="0.3">
      <c r="A1257" t="s">
        <v>1966</v>
      </c>
      <c r="B1257" t="s">
        <v>1987</v>
      </c>
      <c r="C1257">
        <v>50</v>
      </c>
      <c r="D1257">
        <v>48</v>
      </c>
    </row>
    <row r="1258" spans="1:4" x14ac:dyDescent="0.3">
      <c r="A1258" t="s">
        <v>1966</v>
      </c>
      <c r="B1258" t="s">
        <v>1985</v>
      </c>
      <c r="C1258">
        <v>250</v>
      </c>
      <c r="D1258">
        <v>220</v>
      </c>
    </row>
    <row r="1259" spans="1:4" x14ac:dyDescent="0.3">
      <c r="A1259" t="s">
        <v>1966</v>
      </c>
      <c r="B1259" t="s">
        <v>1992</v>
      </c>
      <c r="C1259">
        <v>30</v>
      </c>
      <c r="D1259">
        <v>29</v>
      </c>
    </row>
    <row r="1260" spans="1:4" x14ac:dyDescent="0.3">
      <c r="A1260" t="s">
        <v>1966</v>
      </c>
      <c r="B1260" t="s">
        <v>1990</v>
      </c>
      <c r="C1260">
        <v>50</v>
      </c>
      <c r="D1260">
        <v>48</v>
      </c>
    </row>
    <row r="1261" spans="1:4" x14ac:dyDescent="0.3">
      <c r="A1261" t="s">
        <v>1966</v>
      </c>
      <c r="B1261" t="s">
        <v>1988</v>
      </c>
      <c r="C1261">
        <v>70</v>
      </c>
      <c r="D1261">
        <v>69</v>
      </c>
    </row>
    <row r="1262" spans="1:4" x14ac:dyDescent="0.3">
      <c r="A1262" t="s">
        <v>1966</v>
      </c>
      <c r="B1262" t="s">
        <v>1987</v>
      </c>
      <c r="C1262">
        <v>50</v>
      </c>
      <c r="D1262">
        <v>46</v>
      </c>
    </row>
    <row r="1263" spans="1:4" x14ac:dyDescent="0.3">
      <c r="A1263" t="s">
        <v>1966</v>
      </c>
      <c r="B1263" t="s">
        <v>1989</v>
      </c>
      <c r="C1263">
        <v>150</v>
      </c>
      <c r="D1263">
        <v>140</v>
      </c>
    </row>
    <row r="1264" spans="1:4" x14ac:dyDescent="0.3">
      <c r="A1264" t="s">
        <v>1966</v>
      </c>
      <c r="B1264" t="s">
        <v>1992</v>
      </c>
      <c r="C1264">
        <v>30</v>
      </c>
      <c r="D1264">
        <v>29</v>
      </c>
    </row>
    <row r="1265" spans="1:4" x14ac:dyDescent="0.3">
      <c r="A1265" t="s">
        <v>1966</v>
      </c>
      <c r="B1265" t="s">
        <v>1989</v>
      </c>
      <c r="C1265">
        <v>150</v>
      </c>
      <c r="D1265">
        <v>144</v>
      </c>
    </row>
    <row r="1266" spans="1:4" x14ac:dyDescent="0.3">
      <c r="A1266" t="s">
        <v>1966</v>
      </c>
      <c r="B1266" t="s">
        <v>1988</v>
      </c>
      <c r="C1266">
        <v>70</v>
      </c>
      <c r="D1266">
        <v>64</v>
      </c>
    </row>
    <row r="1267" spans="1:4" x14ac:dyDescent="0.3">
      <c r="A1267" t="s">
        <v>1966</v>
      </c>
      <c r="B1267" t="s">
        <v>1987</v>
      </c>
      <c r="C1267">
        <v>50</v>
      </c>
      <c r="D1267">
        <v>46</v>
      </c>
    </row>
    <row r="1268" spans="1:4" x14ac:dyDescent="0.3">
      <c r="A1268" t="s">
        <v>1966</v>
      </c>
      <c r="B1268" t="s">
        <v>1949</v>
      </c>
      <c r="C1268">
        <v>700</v>
      </c>
      <c r="D1268">
        <v>651</v>
      </c>
    </row>
    <row r="1269" spans="1:4" x14ac:dyDescent="0.3">
      <c r="A1269" t="s">
        <v>1966</v>
      </c>
      <c r="B1269" t="s">
        <v>1987</v>
      </c>
      <c r="C1269">
        <v>50</v>
      </c>
      <c r="D1269">
        <v>47</v>
      </c>
    </row>
    <row r="1270" spans="1:4" x14ac:dyDescent="0.3">
      <c r="A1270" t="s">
        <v>1966</v>
      </c>
      <c r="B1270" t="s">
        <v>1984</v>
      </c>
      <c r="C1270">
        <v>80</v>
      </c>
      <c r="D1270">
        <v>74</v>
      </c>
    </row>
    <row r="1271" spans="1:4" x14ac:dyDescent="0.3">
      <c r="A1271" t="s">
        <v>1966</v>
      </c>
      <c r="B1271" t="s">
        <v>1984</v>
      </c>
      <c r="C1271">
        <v>80</v>
      </c>
      <c r="D1271">
        <v>77</v>
      </c>
    </row>
    <row r="1272" spans="1:4" x14ac:dyDescent="0.3">
      <c r="A1272" t="s">
        <v>1966</v>
      </c>
      <c r="B1272" t="s">
        <v>1985</v>
      </c>
      <c r="C1272">
        <v>250</v>
      </c>
      <c r="D1272">
        <v>220</v>
      </c>
    </row>
    <row r="1273" spans="1:4" x14ac:dyDescent="0.3">
      <c r="A1273" t="s">
        <v>1966</v>
      </c>
      <c r="B1273" t="s">
        <v>1992</v>
      </c>
      <c r="C1273">
        <v>30</v>
      </c>
      <c r="D1273">
        <v>28</v>
      </c>
    </row>
    <row r="1274" spans="1:4" x14ac:dyDescent="0.3">
      <c r="A1274" t="s">
        <v>1966</v>
      </c>
      <c r="B1274" t="s">
        <v>1986</v>
      </c>
      <c r="C1274">
        <v>500</v>
      </c>
      <c r="D1274">
        <v>495</v>
      </c>
    </row>
    <row r="1275" spans="1:4" x14ac:dyDescent="0.3">
      <c r="A1275" t="s">
        <v>1966</v>
      </c>
      <c r="B1275" t="s">
        <v>1987</v>
      </c>
      <c r="C1275">
        <v>50</v>
      </c>
      <c r="D1275">
        <v>46</v>
      </c>
    </row>
    <row r="1276" spans="1:4" x14ac:dyDescent="0.3">
      <c r="A1276" t="s">
        <v>1966</v>
      </c>
      <c r="B1276" t="s">
        <v>1988</v>
      </c>
      <c r="C1276">
        <v>70</v>
      </c>
      <c r="D1276">
        <v>64</v>
      </c>
    </row>
    <row r="1277" spans="1:4" x14ac:dyDescent="0.3">
      <c r="A1277" t="s">
        <v>1966</v>
      </c>
      <c r="B1277" t="s">
        <v>1989</v>
      </c>
      <c r="C1277">
        <v>150</v>
      </c>
      <c r="D1277">
        <v>140</v>
      </c>
    </row>
    <row r="1278" spans="1:4" x14ac:dyDescent="0.3">
      <c r="A1278" t="s">
        <v>1966</v>
      </c>
      <c r="B1278" t="s">
        <v>1987</v>
      </c>
      <c r="C1278">
        <v>50</v>
      </c>
      <c r="D1278">
        <v>50</v>
      </c>
    </row>
    <row r="1279" spans="1:4" x14ac:dyDescent="0.3">
      <c r="A1279" t="s">
        <v>1966</v>
      </c>
      <c r="B1279" t="s">
        <v>1985</v>
      </c>
      <c r="C1279">
        <v>250</v>
      </c>
      <c r="D1279">
        <v>250</v>
      </c>
    </row>
    <row r="1280" spans="1:4" x14ac:dyDescent="0.3">
      <c r="A1280" t="s">
        <v>1966</v>
      </c>
      <c r="B1280" t="s">
        <v>1990</v>
      </c>
      <c r="C1280">
        <v>50</v>
      </c>
      <c r="D1280">
        <v>40</v>
      </c>
    </row>
    <row r="1281" spans="1:4" x14ac:dyDescent="0.3">
      <c r="A1281" t="s">
        <v>1966</v>
      </c>
      <c r="B1281" t="s">
        <v>1988</v>
      </c>
      <c r="C1281">
        <v>70</v>
      </c>
      <c r="D1281">
        <v>47</v>
      </c>
    </row>
    <row r="1282" spans="1:4" x14ac:dyDescent="0.3">
      <c r="A1282" t="s">
        <v>1966</v>
      </c>
      <c r="B1282" t="s">
        <v>1984</v>
      </c>
      <c r="C1282">
        <v>80</v>
      </c>
      <c r="D1282">
        <v>80</v>
      </c>
    </row>
    <row r="1283" spans="1:4" x14ac:dyDescent="0.3">
      <c r="A1283" t="s">
        <v>1966</v>
      </c>
      <c r="B1283" t="s">
        <v>1949</v>
      </c>
      <c r="C1283">
        <v>700</v>
      </c>
      <c r="D1283">
        <v>595</v>
      </c>
    </row>
    <row r="1284" spans="1:4" x14ac:dyDescent="0.3">
      <c r="A1284" t="s">
        <v>1966</v>
      </c>
      <c r="B1284" t="s">
        <v>1988</v>
      </c>
      <c r="C1284">
        <v>70</v>
      </c>
      <c r="D1284">
        <v>46</v>
      </c>
    </row>
    <row r="1285" spans="1:4" x14ac:dyDescent="0.3">
      <c r="A1285" t="s">
        <v>1966</v>
      </c>
      <c r="B1285" t="s">
        <v>1989</v>
      </c>
      <c r="C1285">
        <v>150</v>
      </c>
      <c r="D1285">
        <v>120</v>
      </c>
    </row>
    <row r="1286" spans="1:4" x14ac:dyDescent="0.3">
      <c r="A1286" t="s">
        <v>1966</v>
      </c>
      <c r="B1286" t="s">
        <v>1987</v>
      </c>
      <c r="C1286">
        <v>50</v>
      </c>
      <c r="D1286">
        <v>32</v>
      </c>
    </row>
    <row r="1287" spans="1:4" x14ac:dyDescent="0.3">
      <c r="A1287" t="s">
        <v>1966</v>
      </c>
      <c r="B1287" t="s">
        <v>1949</v>
      </c>
      <c r="C1287">
        <v>700</v>
      </c>
      <c r="D1287">
        <v>448</v>
      </c>
    </row>
    <row r="1288" spans="1:4" x14ac:dyDescent="0.3">
      <c r="A1288" t="s">
        <v>1966</v>
      </c>
      <c r="B1288" t="s">
        <v>1984</v>
      </c>
      <c r="C1288">
        <v>80</v>
      </c>
      <c r="D1288">
        <v>53</v>
      </c>
    </row>
    <row r="1289" spans="1:4" x14ac:dyDescent="0.3">
      <c r="A1289" t="s">
        <v>1966</v>
      </c>
      <c r="B1289" t="s">
        <v>1990</v>
      </c>
      <c r="C1289">
        <v>50</v>
      </c>
      <c r="D1289">
        <v>36</v>
      </c>
    </row>
    <row r="1290" spans="1:4" x14ac:dyDescent="0.3">
      <c r="A1290" t="s">
        <v>1966</v>
      </c>
      <c r="B1290" t="s">
        <v>1988</v>
      </c>
      <c r="C1290">
        <v>70</v>
      </c>
      <c r="D1290">
        <v>64</v>
      </c>
    </row>
    <row r="1291" spans="1:4" x14ac:dyDescent="0.3">
      <c r="A1291" t="s">
        <v>1966</v>
      </c>
      <c r="B1291" t="s">
        <v>1990</v>
      </c>
      <c r="C1291">
        <v>50</v>
      </c>
      <c r="D1291">
        <v>49</v>
      </c>
    </row>
    <row r="1292" spans="1:4" x14ac:dyDescent="0.3">
      <c r="A1292" t="s">
        <v>1966</v>
      </c>
      <c r="B1292" t="s">
        <v>1984</v>
      </c>
      <c r="C1292">
        <v>80</v>
      </c>
      <c r="D1292">
        <v>78</v>
      </c>
    </row>
    <row r="1293" spans="1:4" x14ac:dyDescent="0.3">
      <c r="A1293" t="s">
        <v>1966</v>
      </c>
      <c r="B1293" t="s">
        <v>1986</v>
      </c>
      <c r="C1293">
        <v>500</v>
      </c>
      <c r="D1293">
        <v>490</v>
      </c>
    </row>
    <row r="1294" spans="1:4" x14ac:dyDescent="0.3">
      <c r="A1294" t="s">
        <v>1966</v>
      </c>
      <c r="B1294" t="s">
        <v>1986</v>
      </c>
      <c r="C1294">
        <v>500</v>
      </c>
      <c r="D1294">
        <v>490</v>
      </c>
    </row>
    <row r="1295" spans="1:4" x14ac:dyDescent="0.3">
      <c r="A1295" t="s">
        <v>1966</v>
      </c>
      <c r="B1295" t="s">
        <v>1950</v>
      </c>
      <c r="C1295">
        <v>1000</v>
      </c>
      <c r="D1295">
        <v>540</v>
      </c>
    </row>
    <row r="1296" spans="1:4" x14ac:dyDescent="0.3">
      <c r="A1296" t="s">
        <v>1966</v>
      </c>
      <c r="B1296" t="s">
        <v>1986</v>
      </c>
      <c r="C1296">
        <v>500</v>
      </c>
      <c r="D1296">
        <v>495</v>
      </c>
    </row>
    <row r="1297" spans="1:4" x14ac:dyDescent="0.3">
      <c r="A1297" t="s">
        <v>1966</v>
      </c>
      <c r="B1297" t="s">
        <v>1984</v>
      </c>
      <c r="C1297">
        <v>80</v>
      </c>
      <c r="D1297">
        <v>75</v>
      </c>
    </row>
    <row r="1298" spans="1:4" x14ac:dyDescent="0.3">
      <c r="A1298" t="s">
        <v>1966</v>
      </c>
      <c r="B1298" t="s">
        <v>1984</v>
      </c>
      <c r="C1298">
        <v>80</v>
      </c>
      <c r="D1298">
        <v>73</v>
      </c>
    </row>
    <row r="1299" spans="1:4" x14ac:dyDescent="0.3">
      <c r="A1299" t="s">
        <v>1966</v>
      </c>
      <c r="B1299" t="s">
        <v>1986</v>
      </c>
      <c r="C1299">
        <v>500</v>
      </c>
      <c r="D1299">
        <v>495</v>
      </c>
    </row>
    <row r="1300" spans="1:4" x14ac:dyDescent="0.3">
      <c r="A1300" t="s">
        <v>1967</v>
      </c>
      <c r="B1300" t="s">
        <v>1990</v>
      </c>
      <c r="C1300">
        <v>50</v>
      </c>
      <c r="D1300">
        <v>48</v>
      </c>
    </row>
    <row r="1301" spans="1:4" x14ac:dyDescent="0.3">
      <c r="A1301" t="s">
        <v>1967</v>
      </c>
      <c r="B1301" t="s">
        <v>1990</v>
      </c>
      <c r="C1301">
        <v>50</v>
      </c>
      <c r="D1301">
        <v>45</v>
      </c>
    </row>
    <row r="1302" spans="1:4" x14ac:dyDescent="0.3">
      <c r="A1302" t="s">
        <v>1967</v>
      </c>
      <c r="B1302" t="s">
        <v>1992</v>
      </c>
      <c r="C1302">
        <v>30</v>
      </c>
      <c r="D1302">
        <v>26</v>
      </c>
    </row>
    <row r="1303" spans="1:4" x14ac:dyDescent="0.3">
      <c r="A1303" t="s">
        <v>1967</v>
      </c>
      <c r="B1303" t="s">
        <v>1992</v>
      </c>
      <c r="C1303">
        <v>30</v>
      </c>
      <c r="D1303">
        <v>27</v>
      </c>
    </row>
    <row r="1304" spans="1:4" x14ac:dyDescent="0.3">
      <c r="A1304" t="s">
        <v>1967</v>
      </c>
      <c r="B1304" t="s">
        <v>1987</v>
      </c>
      <c r="C1304">
        <v>50</v>
      </c>
      <c r="D1304">
        <v>45</v>
      </c>
    </row>
    <row r="1305" spans="1:4" x14ac:dyDescent="0.3">
      <c r="A1305" t="s">
        <v>1967</v>
      </c>
      <c r="B1305" t="s">
        <v>1987</v>
      </c>
      <c r="C1305">
        <v>50</v>
      </c>
      <c r="D1305">
        <v>43</v>
      </c>
    </row>
    <row r="1306" spans="1:4" x14ac:dyDescent="0.3">
      <c r="A1306" t="s">
        <v>1967</v>
      </c>
      <c r="B1306" t="s">
        <v>1949</v>
      </c>
      <c r="C1306">
        <v>700</v>
      </c>
      <c r="D1306">
        <v>623</v>
      </c>
    </row>
    <row r="1307" spans="1:4" x14ac:dyDescent="0.3">
      <c r="A1307" t="s">
        <v>1967</v>
      </c>
      <c r="B1307" t="s">
        <v>1990</v>
      </c>
      <c r="C1307">
        <v>50</v>
      </c>
      <c r="D1307">
        <v>44</v>
      </c>
    </row>
    <row r="1308" spans="1:4" x14ac:dyDescent="0.3">
      <c r="A1308" t="s">
        <v>1967</v>
      </c>
      <c r="B1308" t="s">
        <v>1992</v>
      </c>
      <c r="C1308">
        <v>30</v>
      </c>
      <c r="D1308">
        <v>28</v>
      </c>
    </row>
    <row r="1309" spans="1:4" x14ac:dyDescent="0.3">
      <c r="A1309" t="s">
        <v>1967</v>
      </c>
      <c r="B1309" t="s">
        <v>1985</v>
      </c>
      <c r="C1309">
        <v>250</v>
      </c>
      <c r="D1309">
        <v>220</v>
      </c>
    </row>
    <row r="1310" spans="1:4" x14ac:dyDescent="0.3">
      <c r="A1310" t="s">
        <v>1967</v>
      </c>
      <c r="B1310" t="s">
        <v>1988</v>
      </c>
      <c r="C1310">
        <v>70</v>
      </c>
      <c r="D1310">
        <v>70</v>
      </c>
    </row>
    <row r="1311" spans="1:4" x14ac:dyDescent="0.3">
      <c r="A1311" t="s">
        <v>1967</v>
      </c>
      <c r="B1311" t="s">
        <v>1949</v>
      </c>
      <c r="C1311">
        <v>700</v>
      </c>
      <c r="D1311">
        <v>630</v>
      </c>
    </row>
    <row r="1312" spans="1:4" x14ac:dyDescent="0.3">
      <c r="A1312" t="s">
        <v>1967</v>
      </c>
      <c r="B1312" t="s">
        <v>1987</v>
      </c>
      <c r="C1312">
        <v>50</v>
      </c>
      <c r="D1312">
        <v>45</v>
      </c>
    </row>
    <row r="1313" spans="1:4" x14ac:dyDescent="0.3">
      <c r="A1313" t="s">
        <v>1967</v>
      </c>
      <c r="B1313" t="s">
        <v>1990</v>
      </c>
      <c r="C1313">
        <v>50</v>
      </c>
      <c r="D1313">
        <v>43</v>
      </c>
    </row>
    <row r="1314" spans="1:4" x14ac:dyDescent="0.3">
      <c r="A1314" t="s">
        <v>1967</v>
      </c>
      <c r="B1314" t="s">
        <v>1988</v>
      </c>
      <c r="C1314">
        <v>70</v>
      </c>
      <c r="D1314">
        <v>67</v>
      </c>
    </row>
    <row r="1315" spans="1:4" x14ac:dyDescent="0.3">
      <c r="A1315" t="s">
        <v>1967</v>
      </c>
      <c r="B1315" t="s">
        <v>1990</v>
      </c>
      <c r="C1315">
        <v>50</v>
      </c>
      <c r="D1315">
        <v>43</v>
      </c>
    </row>
    <row r="1316" spans="1:4" x14ac:dyDescent="0.3">
      <c r="A1316" t="s">
        <v>1967</v>
      </c>
      <c r="B1316" t="s">
        <v>1988</v>
      </c>
      <c r="C1316">
        <v>70</v>
      </c>
      <c r="D1316">
        <v>61</v>
      </c>
    </row>
    <row r="1317" spans="1:4" x14ac:dyDescent="0.3">
      <c r="A1317" t="s">
        <v>1967</v>
      </c>
      <c r="B1317" t="s">
        <v>1990</v>
      </c>
      <c r="C1317">
        <v>50</v>
      </c>
      <c r="D1317">
        <v>43</v>
      </c>
    </row>
    <row r="1318" spans="1:4" x14ac:dyDescent="0.3">
      <c r="A1318" t="s">
        <v>1967</v>
      </c>
      <c r="B1318" t="s">
        <v>1986</v>
      </c>
      <c r="C1318">
        <v>500</v>
      </c>
      <c r="D1318">
        <v>490</v>
      </c>
    </row>
    <row r="1319" spans="1:4" x14ac:dyDescent="0.3">
      <c r="A1319" t="s">
        <v>1967</v>
      </c>
      <c r="B1319" t="s">
        <v>1990</v>
      </c>
      <c r="C1319">
        <v>50</v>
      </c>
      <c r="D1319">
        <v>44</v>
      </c>
    </row>
    <row r="1320" spans="1:4" x14ac:dyDescent="0.3">
      <c r="A1320" t="s">
        <v>1967</v>
      </c>
      <c r="B1320" t="s">
        <v>1990</v>
      </c>
      <c r="C1320">
        <v>50</v>
      </c>
      <c r="D1320">
        <v>48</v>
      </c>
    </row>
    <row r="1321" spans="1:4" x14ac:dyDescent="0.3">
      <c r="A1321" t="s">
        <v>1967</v>
      </c>
      <c r="B1321" t="s">
        <v>1989</v>
      </c>
      <c r="C1321">
        <v>150</v>
      </c>
      <c r="D1321">
        <v>144</v>
      </c>
    </row>
    <row r="1322" spans="1:4" x14ac:dyDescent="0.3">
      <c r="A1322" t="s">
        <v>1967</v>
      </c>
      <c r="B1322" t="s">
        <v>1948</v>
      </c>
      <c r="C1322">
        <v>800</v>
      </c>
      <c r="D1322">
        <v>584</v>
      </c>
    </row>
    <row r="1323" spans="1:4" x14ac:dyDescent="0.3">
      <c r="A1323" t="s">
        <v>1967</v>
      </c>
      <c r="B1323" t="s">
        <v>1992</v>
      </c>
      <c r="C1323">
        <v>30</v>
      </c>
      <c r="D1323">
        <v>28</v>
      </c>
    </row>
    <row r="1324" spans="1:4" x14ac:dyDescent="0.3">
      <c r="A1324" t="s">
        <v>1967</v>
      </c>
      <c r="B1324" t="s">
        <v>1992</v>
      </c>
      <c r="C1324">
        <v>30</v>
      </c>
      <c r="D1324">
        <v>29</v>
      </c>
    </row>
    <row r="1325" spans="1:4" x14ac:dyDescent="0.3">
      <c r="A1325" t="s">
        <v>1967</v>
      </c>
      <c r="B1325" t="s">
        <v>1991</v>
      </c>
      <c r="C1325">
        <v>500</v>
      </c>
      <c r="D1325">
        <v>490</v>
      </c>
    </row>
    <row r="1326" spans="1:4" x14ac:dyDescent="0.3">
      <c r="A1326" t="s">
        <v>1967</v>
      </c>
      <c r="B1326" t="s">
        <v>1949</v>
      </c>
      <c r="C1326">
        <v>700</v>
      </c>
      <c r="D1326">
        <v>637</v>
      </c>
    </row>
    <row r="1327" spans="1:4" x14ac:dyDescent="0.3">
      <c r="A1327" t="s">
        <v>1967</v>
      </c>
      <c r="B1327" t="s">
        <v>1987</v>
      </c>
      <c r="C1327">
        <v>50</v>
      </c>
      <c r="D1327">
        <v>49</v>
      </c>
    </row>
    <row r="1328" spans="1:4" x14ac:dyDescent="0.3">
      <c r="A1328" t="s">
        <v>1967</v>
      </c>
      <c r="B1328" t="s">
        <v>1948</v>
      </c>
      <c r="C1328">
        <v>800</v>
      </c>
      <c r="D1328">
        <v>552</v>
      </c>
    </row>
    <row r="1329" spans="1:4" x14ac:dyDescent="0.3">
      <c r="A1329" t="s">
        <v>1967</v>
      </c>
      <c r="B1329" t="s">
        <v>1986</v>
      </c>
      <c r="C1329">
        <v>500</v>
      </c>
      <c r="D1329">
        <v>500</v>
      </c>
    </row>
    <row r="1330" spans="1:4" x14ac:dyDescent="0.3">
      <c r="A1330" t="s">
        <v>1967</v>
      </c>
      <c r="B1330" t="s">
        <v>1991</v>
      </c>
      <c r="C1330">
        <v>500</v>
      </c>
      <c r="D1330">
        <v>450</v>
      </c>
    </row>
    <row r="1331" spans="1:4" x14ac:dyDescent="0.3">
      <c r="A1331" t="s">
        <v>1967</v>
      </c>
      <c r="B1331" t="s">
        <v>1986</v>
      </c>
      <c r="C1331">
        <v>500</v>
      </c>
      <c r="D1331">
        <v>490</v>
      </c>
    </row>
    <row r="1332" spans="1:4" x14ac:dyDescent="0.3">
      <c r="A1332" t="s">
        <v>1967</v>
      </c>
      <c r="B1332" t="s">
        <v>1990</v>
      </c>
      <c r="C1332">
        <v>50</v>
      </c>
      <c r="D1332">
        <v>47</v>
      </c>
    </row>
    <row r="1333" spans="1:4" x14ac:dyDescent="0.3">
      <c r="A1333" t="s">
        <v>1967</v>
      </c>
      <c r="B1333" t="s">
        <v>1989</v>
      </c>
      <c r="C1333">
        <v>150</v>
      </c>
      <c r="D1333">
        <v>147</v>
      </c>
    </row>
    <row r="1334" spans="1:4" x14ac:dyDescent="0.3">
      <c r="A1334" t="s">
        <v>1967</v>
      </c>
      <c r="B1334" t="s">
        <v>1984</v>
      </c>
      <c r="C1334">
        <v>80</v>
      </c>
      <c r="D1334">
        <v>77</v>
      </c>
    </row>
    <row r="1335" spans="1:4" x14ac:dyDescent="0.3">
      <c r="A1335" t="s">
        <v>1967</v>
      </c>
      <c r="B1335" t="s">
        <v>1985</v>
      </c>
      <c r="C1335">
        <v>250</v>
      </c>
      <c r="D1335">
        <v>245</v>
      </c>
    </row>
    <row r="1336" spans="1:4" x14ac:dyDescent="0.3">
      <c r="A1336" t="s">
        <v>1967</v>
      </c>
      <c r="B1336" t="s">
        <v>1992</v>
      </c>
      <c r="C1336">
        <v>30</v>
      </c>
      <c r="D1336">
        <v>30</v>
      </c>
    </row>
    <row r="1337" spans="1:4" x14ac:dyDescent="0.3">
      <c r="A1337" t="s">
        <v>1967</v>
      </c>
      <c r="B1337" t="s">
        <v>1984</v>
      </c>
      <c r="C1337">
        <v>80</v>
      </c>
      <c r="D1337">
        <v>78</v>
      </c>
    </row>
    <row r="1338" spans="1:4" x14ac:dyDescent="0.3">
      <c r="A1338" t="s">
        <v>1967</v>
      </c>
      <c r="B1338" t="s">
        <v>1992</v>
      </c>
      <c r="C1338">
        <v>30</v>
      </c>
      <c r="D1338">
        <v>30</v>
      </c>
    </row>
    <row r="1339" spans="1:4" x14ac:dyDescent="0.3">
      <c r="A1339" t="s">
        <v>1967</v>
      </c>
      <c r="B1339" t="s">
        <v>1988</v>
      </c>
      <c r="C1339">
        <v>70</v>
      </c>
      <c r="D1339">
        <v>69</v>
      </c>
    </row>
    <row r="1340" spans="1:4" x14ac:dyDescent="0.3">
      <c r="A1340" t="s">
        <v>1967</v>
      </c>
      <c r="B1340" t="s">
        <v>1988</v>
      </c>
      <c r="C1340">
        <v>70</v>
      </c>
      <c r="D1340">
        <v>69</v>
      </c>
    </row>
    <row r="1341" spans="1:4" x14ac:dyDescent="0.3">
      <c r="A1341" t="s">
        <v>1967</v>
      </c>
      <c r="B1341" t="s">
        <v>1948</v>
      </c>
      <c r="C1341">
        <v>800</v>
      </c>
      <c r="D1341">
        <v>448</v>
      </c>
    </row>
    <row r="1342" spans="1:4" x14ac:dyDescent="0.3">
      <c r="A1342" t="s">
        <v>1967</v>
      </c>
      <c r="B1342" t="s">
        <v>1986</v>
      </c>
      <c r="C1342">
        <v>500</v>
      </c>
      <c r="D1342">
        <v>490</v>
      </c>
    </row>
    <row r="1343" spans="1:4" x14ac:dyDescent="0.3">
      <c r="A1343" t="s">
        <v>1967</v>
      </c>
      <c r="B1343" t="s">
        <v>1990</v>
      </c>
      <c r="C1343">
        <v>50</v>
      </c>
      <c r="D1343">
        <v>49</v>
      </c>
    </row>
    <row r="1344" spans="1:4" x14ac:dyDescent="0.3">
      <c r="A1344" t="s">
        <v>1967</v>
      </c>
      <c r="B1344" t="s">
        <v>1984</v>
      </c>
      <c r="C1344">
        <v>80</v>
      </c>
      <c r="D1344">
        <v>70</v>
      </c>
    </row>
    <row r="1345" spans="1:4" x14ac:dyDescent="0.3">
      <c r="A1345" t="s">
        <v>1967</v>
      </c>
      <c r="B1345" t="s">
        <v>1990</v>
      </c>
      <c r="C1345">
        <v>50</v>
      </c>
      <c r="D1345">
        <v>43</v>
      </c>
    </row>
    <row r="1346" spans="1:4" x14ac:dyDescent="0.3">
      <c r="A1346" t="s">
        <v>1967</v>
      </c>
      <c r="B1346" t="s">
        <v>1992</v>
      </c>
      <c r="C1346">
        <v>30</v>
      </c>
      <c r="D1346">
        <v>28</v>
      </c>
    </row>
    <row r="1347" spans="1:4" x14ac:dyDescent="0.3">
      <c r="A1347" t="s">
        <v>1967</v>
      </c>
      <c r="B1347" t="s">
        <v>1992</v>
      </c>
      <c r="C1347">
        <v>30</v>
      </c>
      <c r="D1347">
        <v>29</v>
      </c>
    </row>
    <row r="1348" spans="1:4" x14ac:dyDescent="0.3">
      <c r="A1348" t="s">
        <v>1967</v>
      </c>
      <c r="B1348" t="s">
        <v>1948</v>
      </c>
      <c r="C1348">
        <v>800</v>
      </c>
      <c r="D1348">
        <v>592</v>
      </c>
    </row>
    <row r="1349" spans="1:4" x14ac:dyDescent="0.3">
      <c r="A1349" t="s">
        <v>1967</v>
      </c>
      <c r="B1349" t="s">
        <v>1984</v>
      </c>
      <c r="C1349">
        <v>80</v>
      </c>
      <c r="D1349">
        <v>73</v>
      </c>
    </row>
    <row r="1350" spans="1:4" x14ac:dyDescent="0.3">
      <c r="A1350" t="s">
        <v>1967</v>
      </c>
      <c r="B1350" t="s">
        <v>1985</v>
      </c>
      <c r="C1350">
        <v>250</v>
      </c>
      <c r="D1350">
        <v>245</v>
      </c>
    </row>
    <row r="1351" spans="1:4" x14ac:dyDescent="0.3">
      <c r="A1351" t="s">
        <v>1967</v>
      </c>
      <c r="B1351" t="s">
        <v>1950</v>
      </c>
      <c r="C1351">
        <v>1000</v>
      </c>
      <c r="D1351">
        <v>580</v>
      </c>
    </row>
    <row r="1352" spans="1:4" x14ac:dyDescent="0.3">
      <c r="A1352" t="s">
        <v>1967</v>
      </c>
      <c r="B1352" t="s">
        <v>1990</v>
      </c>
      <c r="C1352">
        <v>50</v>
      </c>
      <c r="D1352">
        <v>50</v>
      </c>
    </row>
    <row r="1353" spans="1:4" x14ac:dyDescent="0.3">
      <c r="A1353" t="s">
        <v>1967</v>
      </c>
      <c r="B1353" t="s">
        <v>1991</v>
      </c>
      <c r="C1353">
        <v>500</v>
      </c>
      <c r="D1353">
        <v>475</v>
      </c>
    </row>
    <row r="1354" spans="1:4" x14ac:dyDescent="0.3">
      <c r="A1354" t="s">
        <v>1967</v>
      </c>
      <c r="B1354" t="s">
        <v>1992</v>
      </c>
      <c r="C1354">
        <v>30</v>
      </c>
      <c r="D1354">
        <v>26</v>
      </c>
    </row>
    <row r="1355" spans="1:4" x14ac:dyDescent="0.3">
      <c r="A1355" t="s">
        <v>1967</v>
      </c>
      <c r="B1355" t="s">
        <v>1949</v>
      </c>
      <c r="C1355">
        <v>700</v>
      </c>
      <c r="D1355">
        <v>651</v>
      </c>
    </row>
    <row r="1356" spans="1:4" x14ac:dyDescent="0.3">
      <c r="A1356" t="s">
        <v>1967</v>
      </c>
      <c r="B1356" t="s">
        <v>1986</v>
      </c>
      <c r="C1356">
        <v>500</v>
      </c>
      <c r="D1356">
        <v>495</v>
      </c>
    </row>
    <row r="1357" spans="1:4" x14ac:dyDescent="0.3">
      <c r="A1357" t="s">
        <v>1967</v>
      </c>
      <c r="B1357" t="s">
        <v>1988</v>
      </c>
      <c r="C1357">
        <v>70</v>
      </c>
      <c r="D1357">
        <v>53</v>
      </c>
    </row>
    <row r="1358" spans="1:4" x14ac:dyDescent="0.3">
      <c r="A1358" t="s">
        <v>1967</v>
      </c>
      <c r="B1358" t="s">
        <v>1986</v>
      </c>
      <c r="C1358">
        <v>500</v>
      </c>
      <c r="D1358">
        <v>495</v>
      </c>
    </row>
    <row r="1359" spans="1:4" x14ac:dyDescent="0.3">
      <c r="A1359" t="s">
        <v>1967</v>
      </c>
      <c r="B1359" t="s">
        <v>1949</v>
      </c>
      <c r="C1359">
        <v>700</v>
      </c>
      <c r="D1359">
        <v>581</v>
      </c>
    </row>
    <row r="1360" spans="1:4" x14ac:dyDescent="0.3">
      <c r="A1360" t="s">
        <v>1967</v>
      </c>
      <c r="B1360" t="s">
        <v>1992</v>
      </c>
      <c r="C1360">
        <v>30</v>
      </c>
      <c r="D1360">
        <v>28</v>
      </c>
    </row>
    <row r="1361" spans="1:4" x14ac:dyDescent="0.3">
      <c r="A1361" t="s">
        <v>1967</v>
      </c>
      <c r="B1361" t="s">
        <v>1986</v>
      </c>
      <c r="C1361">
        <v>500</v>
      </c>
      <c r="D1361">
        <v>490</v>
      </c>
    </row>
    <row r="1362" spans="1:4" x14ac:dyDescent="0.3">
      <c r="A1362" t="s">
        <v>1967</v>
      </c>
      <c r="B1362" t="s">
        <v>1984</v>
      </c>
      <c r="C1362">
        <v>80</v>
      </c>
      <c r="D1362">
        <v>53</v>
      </c>
    </row>
    <row r="1363" spans="1:4" x14ac:dyDescent="0.3">
      <c r="A1363" t="s">
        <v>1967</v>
      </c>
      <c r="B1363" t="s">
        <v>1950</v>
      </c>
      <c r="C1363">
        <v>1000</v>
      </c>
      <c r="D1363">
        <v>590</v>
      </c>
    </row>
    <row r="1364" spans="1:4" x14ac:dyDescent="0.3">
      <c r="A1364" t="s">
        <v>1967</v>
      </c>
      <c r="B1364" t="s">
        <v>1992</v>
      </c>
      <c r="C1364">
        <v>30</v>
      </c>
      <c r="D1364">
        <v>21</v>
      </c>
    </row>
    <row r="1365" spans="1:4" x14ac:dyDescent="0.3">
      <c r="A1365" t="s">
        <v>1967</v>
      </c>
      <c r="B1365" t="s">
        <v>1990</v>
      </c>
      <c r="C1365">
        <v>50</v>
      </c>
      <c r="D1365">
        <v>38</v>
      </c>
    </row>
    <row r="1366" spans="1:4" x14ac:dyDescent="0.3">
      <c r="A1366" t="s">
        <v>1967</v>
      </c>
      <c r="B1366" t="s">
        <v>1948</v>
      </c>
      <c r="C1366">
        <v>800</v>
      </c>
      <c r="D1366">
        <v>488</v>
      </c>
    </row>
    <row r="1367" spans="1:4" x14ac:dyDescent="0.3">
      <c r="A1367" t="s">
        <v>1967</v>
      </c>
      <c r="B1367" t="s">
        <v>1989</v>
      </c>
      <c r="C1367">
        <v>150</v>
      </c>
      <c r="D1367">
        <v>140</v>
      </c>
    </row>
    <row r="1368" spans="1:4" x14ac:dyDescent="0.3">
      <c r="A1368" t="s">
        <v>1967</v>
      </c>
      <c r="B1368" t="s">
        <v>1949</v>
      </c>
      <c r="C1368">
        <v>700</v>
      </c>
      <c r="D1368">
        <v>574</v>
      </c>
    </row>
    <row r="1369" spans="1:4" x14ac:dyDescent="0.3">
      <c r="A1369" t="s">
        <v>1967</v>
      </c>
      <c r="B1369" t="s">
        <v>1988</v>
      </c>
      <c r="C1369">
        <v>70</v>
      </c>
      <c r="D1369">
        <v>45</v>
      </c>
    </row>
    <row r="1370" spans="1:4" x14ac:dyDescent="0.3">
      <c r="A1370" t="s">
        <v>1967</v>
      </c>
      <c r="B1370" t="s">
        <v>1986</v>
      </c>
      <c r="C1370">
        <v>500</v>
      </c>
      <c r="D1370">
        <v>495</v>
      </c>
    </row>
    <row r="1371" spans="1:4" x14ac:dyDescent="0.3">
      <c r="A1371" t="s">
        <v>1967</v>
      </c>
      <c r="B1371" t="s">
        <v>1992</v>
      </c>
      <c r="C1371">
        <v>30</v>
      </c>
      <c r="D1371">
        <v>24</v>
      </c>
    </row>
    <row r="1372" spans="1:4" x14ac:dyDescent="0.3">
      <c r="A1372" t="s">
        <v>1967</v>
      </c>
      <c r="B1372" t="s">
        <v>1984</v>
      </c>
      <c r="C1372">
        <v>80</v>
      </c>
      <c r="D1372">
        <v>74</v>
      </c>
    </row>
    <row r="1373" spans="1:4" x14ac:dyDescent="0.3">
      <c r="A1373" t="s">
        <v>1967</v>
      </c>
      <c r="B1373" t="s">
        <v>1987</v>
      </c>
      <c r="C1373">
        <v>50</v>
      </c>
      <c r="D1373">
        <v>49</v>
      </c>
    </row>
    <row r="1374" spans="1:4" x14ac:dyDescent="0.3">
      <c r="A1374" t="s">
        <v>1967</v>
      </c>
      <c r="B1374" t="s">
        <v>1991</v>
      </c>
      <c r="C1374">
        <v>500</v>
      </c>
      <c r="D1374">
        <v>450</v>
      </c>
    </row>
    <row r="1375" spans="1:4" x14ac:dyDescent="0.3">
      <c r="A1375" t="s">
        <v>1967</v>
      </c>
      <c r="B1375" t="s">
        <v>1991</v>
      </c>
      <c r="C1375">
        <v>500</v>
      </c>
      <c r="D1375">
        <v>305</v>
      </c>
    </row>
    <row r="1376" spans="1:4" x14ac:dyDescent="0.3">
      <c r="A1376" t="s">
        <v>1967</v>
      </c>
      <c r="B1376" t="s">
        <v>1985</v>
      </c>
      <c r="C1376">
        <v>250</v>
      </c>
      <c r="D1376">
        <v>243</v>
      </c>
    </row>
    <row r="1377" spans="1:4" x14ac:dyDescent="0.3">
      <c r="A1377" t="s">
        <v>1967</v>
      </c>
      <c r="B1377" t="s">
        <v>1950</v>
      </c>
      <c r="C1377">
        <v>1000</v>
      </c>
      <c r="D1377">
        <v>600</v>
      </c>
    </row>
    <row r="1378" spans="1:4" x14ac:dyDescent="0.3">
      <c r="A1378" t="s">
        <v>1967</v>
      </c>
      <c r="B1378" t="s">
        <v>1990</v>
      </c>
      <c r="C1378">
        <v>50</v>
      </c>
      <c r="D1378">
        <v>40</v>
      </c>
    </row>
    <row r="1379" spans="1:4" x14ac:dyDescent="0.3">
      <c r="A1379" t="s">
        <v>1967</v>
      </c>
      <c r="B1379" t="s">
        <v>1990</v>
      </c>
      <c r="C1379">
        <v>50</v>
      </c>
      <c r="D1379">
        <v>50</v>
      </c>
    </row>
    <row r="1380" spans="1:4" x14ac:dyDescent="0.3">
      <c r="A1380" t="s">
        <v>1967</v>
      </c>
      <c r="B1380" t="s">
        <v>1986</v>
      </c>
      <c r="C1380">
        <v>500</v>
      </c>
      <c r="D1380">
        <v>495</v>
      </c>
    </row>
    <row r="1381" spans="1:4" x14ac:dyDescent="0.3">
      <c r="A1381" t="s">
        <v>1967</v>
      </c>
      <c r="B1381" t="s">
        <v>1987</v>
      </c>
      <c r="C1381">
        <v>50</v>
      </c>
      <c r="D1381">
        <v>43</v>
      </c>
    </row>
    <row r="1382" spans="1:4" x14ac:dyDescent="0.3">
      <c r="A1382" t="s">
        <v>1967</v>
      </c>
      <c r="B1382" t="s">
        <v>1986</v>
      </c>
      <c r="C1382">
        <v>500</v>
      </c>
      <c r="D1382">
        <v>495</v>
      </c>
    </row>
    <row r="1383" spans="1:4" x14ac:dyDescent="0.3">
      <c r="A1383" t="s">
        <v>1967</v>
      </c>
      <c r="B1383" t="s">
        <v>1989</v>
      </c>
      <c r="C1383">
        <v>150</v>
      </c>
      <c r="D1383">
        <v>137</v>
      </c>
    </row>
    <row r="1384" spans="1:4" x14ac:dyDescent="0.3">
      <c r="A1384" t="s">
        <v>1967</v>
      </c>
      <c r="B1384" t="s">
        <v>1990</v>
      </c>
      <c r="C1384">
        <v>50</v>
      </c>
      <c r="D1384">
        <v>44</v>
      </c>
    </row>
    <row r="1385" spans="1:4" x14ac:dyDescent="0.3">
      <c r="A1385" t="s">
        <v>1967</v>
      </c>
      <c r="B1385" t="s">
        <v>1989</v>
      </c>
      <c r="C1385">
        <v>150</v>
      </c>
      <c r="D1385">
        <v>126</v>
      </c>
    </row>
    <row r="1386" spans="1:4" x14ac:dyDescent="0.3">
      <c r="A1386" t="s">
        <v>1967</v>
      </c>
      <c r="B1386" t="s">
        <v>1987</v>
      </c>
      <c r="C1386">
        <v>50</v>
      </c>
      <c r="D1386">
        <v>50</v>
      </c>
    </row>
    <row r="1387" spans="1:4" x14ac:dyDescent="0.3">
      <c r="A1387" t="s">
        <v>1967</v>
      </c>
      <c r="B1387" t="s">
        <v>1985</v>
      </c>
      <c r="C1387">
        <v>250</v>
      </c>
      <c r="D1387">
        <v>240</v>
      </c>
    </row>
    <row r="1388" spans="1:4" x14ac:dyDescent="0.3">
      <c r="A1388" t="s">
        <v>1967</v>
      </c>
      <c r="B1388" t="s">
        <v>1984</v>
      </c>
      <c r="C1388">
        <v>80</v>
      </c>
      <c r="D1388">
        <v>73</v>
      </c>
    </row>
    <row r="1389" spans="1:4" x14ac:dyDescent="0.3">
      <c r="A1389" t="s">
        <v>1967</v>
      </c>
      <c r="B1389" t="s">
        <v>1988</v>
      </c>
      <c r="C1389">
        <v>70</v>
      </c>
      <c r="D1389">
        <v>67</v>
      </c>
    </row>
    <row r="1390" spans="1:4" x14ac:dyDescent="0.3">
      <c r="A1390" t="s">
        <v>1967</v>
      </c>
      <c r="B1390" t="s">
        <v>1992</v>
      </c>
      <c r="C1390">
        <v>30</v>
      </c>
      <c r="D1390">
        <v>21</v>
      </c>
    </row>
    <row r="1391" spans="1:4" x14ac:dyDescent="0.3">
      <c r="A1391" t="s">
        <v>1967</v>
      </c>
      <c r="B1391" t="s">
        <v>1984</v>
      </c>
      <c r="C1391">
        <v>80</v>
      </c>
      <c r="D1391">
        <v>77</v>
      </c>
    </row>
    <row r="1392" spans="1:4" x14ac:dyDescent="0.3">
      <c r="A1392" t="s">
        <v>1967</v>
      </c>
      <c r="B1392" t="s">
        <v>1990</v>
      </c>
      <c r="C1392">
        <v>50</v>
      </c>
      <c r="D1392">
        <v>44</v>
      </c>
    </row>
    <row r="1393" spans="1:4" x14ac:dyDescent="0.3">
      <c r="A1393" t="s">
        <v>1967</v>
      </c>
      <c r="B1393" t="s">
        <v>1986</v>
      </c>
      <c r="C1393">
        <v>500</v>
      </c>
      <c r="D1393">
        <v>500</v>
      </c>
    </row>
    <row r="1394" spans="1:4" x14ac:dyDescent="0.3">
      <c r="A1394" t="s">
        <v>1967</v>
      </c>
      <c r="B1394" t="s">
        <v>1984</v>
      </c>
      <c r="C1394">
        <v>80</v>
      </c>
      <c r="D1394">
        <v>75</v>
      </c>
    </row>
    <row r="1395" spans="1:4" x14ac:dyDescent="0.3">
      <c r="A1395" t="s">
        <v>1967</v>
      </c>
      <c r="B1395" t="s">
        <v>1986</v>
      </c>
      <c r="C1395">
        <v>500</v>
      </c>
      <c r="D1395">
        <v>495</v>
      </c>
    </row>
    <row r="1396" spans="1:4" x14ac:dyDescent="0.3">
      <c r="A1396" t="s">
        <v>1967</v>
      </c>
      <c r="B1396" t="s">
        <v>1985</v>
      </c>
      <c r="C1396">
        <v>250</v>
      </c>
      <c r="D1396">
        <v>215</v>
      </c>
    </row>
    <row r="1397" spans="1:4" x14ac:dyDescent="0.3">
      <c r="A1397" t="s">
        <v>1968</v>
      </c>
      <c r="B1397" t="s">
        <v>1986</v>
      </c>
      <c r="C1397">
        <v>500</v>
      </c>
      <c r="D1397">
        <v>490</v>
      </c>
    </row>
    <row r="1398" spans="1:4" x14ac:dyDescent="0.3">
      <c r="A1398" t="s">
        <v>1968</v>
      </c>
      <c r="B1398" t="s">
        <v>1990</v>
      </c>
      <c r="C1398">
        <v>50</v>
      </c>
      <c r="D1398">
        <v>47</v>
      </c>
    </row>
    <row r="1399" spans="1:4" x14ac:dyDescent="0.3">
      <c r="A1399" t="s">
        <v>1968</v>
      </c>
      <c r="B1399" t="s">
        <v>1986</v>
      </c>
      <c r="C1399">
        <v>500</v>
      </c>
      <c r="D1399">
        <v>500</v>
      </c>
    </row>
    <row r="1400" spans="1:4" x14ac:dyDescent="0.3">
      <c r="A1400" t="s">
        <v>1968</v>
      </c>
      <c r="B1400" t="s">
        <v>1992</v>
      </c>
      <c r="C1400">
        <v>30</v>
      </c>
      <c r="D1400">
        <v>26</v>
      </c>
    </row>
    <row r="1401" spans="1:4" x14ac:dyDescent="0.3">
      <c r="A1401" t="s">
        <v>1968</v>
      </c>
      <c r="B1401" t="s">
        <v>1990</v>
      </c>
      <c r="C1401">
        <v>50</v>
      </c>
      <c r="D1401">
        <v>48</v>
      </c>
    </row>
    <row r="1402" spans="1:4" x14ac:dyDescent="0.3">
      <c r="A1402" t="s">
        <v>1968</v>
      </c>
      <c r="B1402" t="s">
        <v>1992</v>
      </c>
      <c r="C1402">
        <v>30</v>
      </c>
      <c r="D1402">
        <v>29</v>
      </c>
    </row>
    <row r="1403" spans="1:4" x14ac:dyDescent="0.3">
      <c r="A1403" t="s">
        <v>1968</v>
      </c>
      <c r="B1403" t="s">
        <v>1949</v>
      </c>
      <c r="C1403">
        <v>700</v>
      </c>
      <c r="D1403">
        <v>623</v>
      </c>
    </row>
    <row r="1404" spans="1:4" x14ac:dyDescent="0.3">
      <c r="A1404" t="s">
        <v>1968</v>
      </c>
      <c r="B1404" t="s">
        <v>1987</v>
      </c>
      <c r="C1404">
        <v>50</v>
      </c>
      <c r="D1404">
        <v>50</v>
      </c>
    </row>
    <row r="1405" spans="1:4" x14ac:dyDescent="0.3">
      <c r="A1405" t="s">
        <v>1968</v>
      </c>
      <c r="B1405" t="s">
        <v>1950</v>
      </c>
      <c r="C1405">
        <v>1000</v>
      </c>
      <c r="D1405">
        <v>670</v>
      </c>
    </row>
    <row r="1406" spans="1:4" x14ac:dyDescent="0.3">
      <c r="A1406" t="s">
        <v>1968</v>
      </c>
      <c r="B1406" t="s">
        <v>1987</v>
      </c>
      <c r="C1406">
        <v>50</v>
      </c>
      <c r="D1406">
        <v>50</v>
      </c>
    </row>
    <row r="1407" spans="1:4" x14ac:dyDescent="0.3">
      <c r="A1407" t="s">
        <v>1968</v>
      </c>
      <c r="B1407" t="s">
        <v>1991</v>
      </c>
      <c r="C1407">
        <v>500</v>
      </c>
      <c r="D1407">
        <v>460</v>
      </c>
    </row>
    <row r="1408" spans="1:4" x14ac:dyDescent="0.3">
      <c r="A1408" t="s">
        <v>1968</v>
      </c>
      <c r="B1408" t="s">
        <v>1987</v>
      </c>
      <c r="C1408">
        <v>50</v>
      </c>
      <c r="D1408">
        <v>49</v>
      </c>
    </row>
    <row r="1409" spans="1:4" x14ac:dyDescent="0.3">
      <c r="A1409" t="s">
        <v>1968</v>
      </c>
      <c r="B1409" t="s">
        <v>1991</v>
      </c>
      <c r="C1409">
        <v>500</v>
      </c>
      <c r="D1409">
        <v>500</v>
      </c>
    </row>
    <row r="1410" spans="1:4" x14ac:dyDescent="0.3">
      <c r="A1410" t="s">
        <v>1968</v>
      </c>
      <c r="B1410" t="s">
        <v>1949</v>
      </c>
      <c r="C1410">
        <v>700</v>
      </c>
      <c r="D1410">
        <v>672</v>
      </c>
    </row>
    <row r="1411" spans="1:4" x14ac:dyDescent="0.3">
      <c r="A1411" t="s">
        <v>1968</v>
      </c>
      <c r="B1411" t="s">
        <v>1987</v>
      </c>
      <c r="C1411">
        <v>50</v>
      </c>
      <c r="D1411">
        <v>50</v>
      </c>
    </row>
    <row r="1412" spans="1:4" x14ac:dyDescent="0.3">
      <c r="A1412" t="s">
        <v>1968</v>
      </c>
      <c r="B1412" t="s">
        <v>1950</v>
      </c>
      <c r="C1412">
        <v>1000</v>
      </c>
      <c r="D1412">
        <v>510</v>
      </c>
    </row>
    <row r="1413" spans="1:4" x14ac:dyDescent="0.3">
      <c r="A1413" t="s">
        <v>1968</v>
      </c>
      <c r="B1413" t="s">
        <v>1985</v>
      </c>
      <c r="C1413">
        <v>250</v>
      </c>
      <c r="D1413">
        <v>218</v>
      </c>
    </row>
    <row r="1414" spans="1:4" x14ac:dyDescent="0.3">
      <c r="A1414" t="s">
        <v>1968</v>
      </c>
      <c r="B1414" t="s">
        <v>1986</v>
      </c>
      <c r="C1414">
        <v>500</v>
      </c>
      <c r="D1414">
        <v>490</v>
      </c>
    </row>
    <row r="1415" spans="1:4" x14ac:dyDescent="0.3">
      <c r="A1415" t="s">
        <v>1968</v>
      </c>
      <c r="B1415" t="s">
        <v>1991</v>
      </c>
      <c r="C1415">
        <v>500</v>
      </c>
      <c r="D1415">
        <v>455</v>
      </c>
    </row>
    <row r="1416" spans="1:4" x14ac:dyDescent="0.3">
      <c r="A1416" t="s">
        <v>1968</v>
      </c>
      <c r="B1416" t="s">
        <v>1992</v>
      </c>
      <c r="C1416">
        <v>30</v>
      </c>
      <c r="D1416">
        <v>26</v>
      </c>
    </row>
    <row r="1417" spans="1:4" x14ac:dyDescent="0.3">
      <c r="A1417" t="s">
        <v>1968</v>
      </c>
      <c r="B1417" t="s">
        <v>1992</v>
      </c>
      <c r="C1417">
        <v>30</v>
      </c>
      <c r="D1417">
        <v>23</v>
      </c>
    </row>
    <row r="1418" spans="1:4" x14ac:dyDescent="0.3">
      <c r="A1418" t="s">
        <v>1968</v>
      </c>
      <c r="B1418" t="s">
        <v>1988</v>
      </c>
      <c r="C1418">
        <v>70</v>
      </c>
      <c r="D1418">
        <v>50</v>
      </c>
    </row>
    <row r="1419" spans="1:4" x14ac:dyDescent="0.3">
      <c r="A1419" t="s">
        <v>1968</v>
      </c>
      <c r="B1419" t="s">
        <v>1950</v>
      </c>
      <c r="C1419">
        <v>1000</v>
      </c>
      <c r="D1419">
        <v>610</v>
      </c>
    </row>
    <row r="1420" spans="1:4" x14ac:dyDescent="0.3">
      <c r="A1420" t="s">
        <v>1968</v>
      </c>
      <c r="B1420" t="s">
        <v>1988</v>
      </c>
      <c r="C1420">
        <v>70</v>
      </c>
      <c r="D1420">
        <v>48</v>
      </c>
    </row>
    <row r="1421" spans="1:4" x14ac:dyDescent="0.3">
      <c r="A1421" t="s">
        <v>1968</v>
      </c>
      <c r="B1421" t="s">
        <v>1949</v>
      </c>
      <c r="C1421">
        <v>700</v>
      </c>
      <c r="D1421">
        <v>567</v>
      </c>
    </row>
    <row r="1422" spans="1:4" x14ac:dyDescent="0.3">
      <c r="A1422" t="s">
        <v>1968</v>
      </c>
      <c r="B1422" t="s">
        <v>1990</v>
      </c>
      <c r="C1422">
        <v>50</v>
      </c>
      <c r="D1422">
        <v>31</v>
      </c>
    </row>
    <row r="1423" spans="1:4" x14ac:dyDescent="0.3">
      <c r="A1423" t="s">
        <v>1968</v>
      </c>
      <c r="B1423" t="s">
        <v>1986</v>
      </c>
      <c r="C1423">
        <v>500</v>
      </c>
      <c r="D1423">
        <v>495</v>
      </c>
    </row>
    <row r="1424" spans="1:4" x14ac:dyDescent="0.3">
      <c r="A1424" t="s">
        <v>1968</v>
      </c>
      <c r="B1424" t="s">
        <v>1984</v>
      </c>
      <c r="C1424">
        <v>80</v>
      </c>
      <c r="D1424">
        <v>60</v>
      </c>
    </row>
    <row r="1425" spans="1:4" x14ac:dyDescent="0.3">
      <c r="A1425" t="s">
        <v>1968</v>
      </c>
      <c r="B1425" t="s">
        <v>1988</v>
      </c>
      <c r="C1425">
        <v>70</v>
      </c>
      <c r="D1425">
        <v>59</v>
      </c>
    </row>
    <row r="1426" spans="1:4" x14ac:dyDescent="0.3">
      <c r="A1426" t="s">
        <v>1968</v>
      </c>
      <c r="B1426" t="s">
        <v>1991</v>
      </c>
      <c r="C1426">
        <v>500</v>
      </c>
      <c r="D1426">
        <v>500</v>
      </c>
    </row>
    <row r="1427" spans="1:4" x14ac:dyDescent="0.3">
      <c r="A1427" t="s">
        <v>1969</v>
      </c>
      <c r="B1427" t="s">
        <v>1987</v>
      </c>
      <c r="C1427">
        <v>50</v>
      </c>
      <c r="D1427">
        <v>44</v>
      </c>
    </row>
    <row r="1428" spans="1:4" x14ac:dyDescent="0.3">
      <c r="A1428" t="s">
        <v>1969</v>
      </c>
      <c r="B1428" t="s">
        <v>1988</v>
      </c>
      <c r="C1428">
        <v>70</v>
      </c>
      <c r="D1428">
        <v>68</v>
      </c>
    </row>
    <row r="1429" spans="1:4" x14ac:dyDescent="0.3">
      <c r="A1429" t="s">
        <v>1969</v>
      </c>
      <c r="B1429" t="s">
        <v>1988</v>
      </c>
      <c r="C1429">
        <v>70</v>
      </c>
      <c r="D1429">
        <v>67</v>
      </c>
    </row>
    <row r="1430" spans="1:4" x14ac:dyDescent="0.3">
      <c r="A1430" t="s">
        <v>1969</v>
      </c>
      <c r="B1430" t="s">
        <v>1989</v>
      </c>
      <c r="C1430">
        <v>150</v>
      </c>
      <c r="D1430">
        <v>131</v>
      </c>
    </row>
    <row r="1431" spans="1:4" x14ac:dyDescent="0.3">
      <c r="A1431" t="s">
        <v>1969</v>
      </c>
      <c r="B1431" t="s">
        <v>1987</v>
      </c>
      <c r="C1431">
        <v>50</v>
      </c>
      <c r="D1431">
        <v>44</v>
      </c>
    </row>
    <row r="1432" spans="1:4" x14ac:dyDescent="0.3">
      <c r="A1432" t="s">
        <v>1969</v>
      </c>
      <c r="B1432" t="s">
        <v>1949</v>
      </c>
      <c r="C1432">
        <v>700</v>
      </c>
      <c r="D1432">
        <v>623</v>
      </c>
    </row>
    <row r="1433" spans="1:4" x14ac:dyDescent="0.3">
      <c r="A1433" t="s">
        <v>1969</v>
      </c>
      <c r="B1433" t="s">
        <v>1984</v>
      </c>
      <c r="C1433">
        <v>80</v>
      </c>
      <c r="D1433">
        <v>73</v>
      </c>
    </row>
    <row r="1434" spans="1:4" x14ac:dyDescent="0.3">
      <c r="A1434" t="s">
        <v>1969</v>
      </c>
      <c r="B1434" t="s">
        <v>1989</v>
      </c>
      <c r="C1434">
        <v>150</v>
      </c>
      <c r="D1434">
        <v>128</v>
      </c>
    </row>
    <row r="1435" spans="1:4" x14ac:dyDescent="0.3">
      <c r="A1435" t="s">
        <v>1969</v>
      </c>
      <c r="B1435" t="s">
        <v>1948</v>
      </c>
      <c r="C1435">
        <v>800</v>
      </c>
      <c r="D1435">
        <v>520</v>
      </c>
    </row>
    <row r="1436" spans="1:4" x14ac:dyDescent="0.3">
      <c r="A1436" t="s">
        <v>1969</v>
      </c>
      <c r="B1436" t="s">
        <v>1990</v>
      </c>
      <c r="C1436">
        <v>50</v>
      </c>
      <c r="D1436">
        <v>50</v>
      </c>
    </row>
    <row r="1437" spans="1:4" x14ac:dyDescent="0.3">
      <c r="A1437" t="s">
        <v>1969</v>
      </c>
      <c r="B1437" t="s">
        <v>1986</v>
      </c>
      <c r="C1437">
        <v>500</v>
      </c>
      <c r="D1437">
        <v>490</v>
      </c>
    </row>
    <row r="1438" spans="1:4" x14ac:dyDescent="0.3">
      <c r="A1438" t="s">
        <v>1969</v>
      </c>
      <c r="B1438" t="s">
        <v>1949</v>
      </c>
      <c r="C1438">
        <v>700</v>
      </c>
      <c r="D1438">
        <v>644</v>
      </c>
    </row>
    <row r="1439" spans="1:4" x14ac:dyDescent="0.3">
      <c r="A1439" t="s">
        <v>1969</v>
      </c>
      <c r="B1439" t="s">
        <v>1987</v>
      </c>
      <c r="C1439">
        <v>50</v>
      </c>
      <c r="D1439">
        <v>49</v>
      </c>
    </row>
    <row r="1440" spans="1:4" x14ac:dyDescent="0.3">
      <c r="A1440" t="s">
        <v>1969</v>
      </c>
      <c r="B1440" t="s">
        <v>1991</v>
      </c>
      <c r="C1440">
        <v>500</v>
      </c>
      <c r="D1440">
        <v>485</v>
      </c>
    </row>
    <row r="1441" spans="1:4" x14ac:dyDescent="0.3">
      <c r="A1441" t="s">
        <v>1969</v>
      </c>
      <c r="B1441" t="s">
        <v>1991</v>
      </c>
      <c r="C1441">
        <v>500</v>
      </c>
      <c r="D1441">
        <v>465</v>
      </c>
    </row>
    <row r="1442" spans="1:4" x14ac:dyDescent="0.3">
      <c r="A1442" t="s">
        <v>1969</v>
      </c>
      <c r="B1442" t="s">
        <v>1990</v>
      </c>
      <c r="C1442">
        <v>50</v>
      </c>
      <c r="D1442">
        <v>47</v>
      </c>
    </row>
    <row r="1443" spans="1:4" x14ac:dyDescent="0.3">
      <c r="A1443" t="s">
        <v>1969</v>
      </c>
      <c r="B1443" t="s">
        <v>1989</v>
      </c>
      <c r="C1443">
        <v>150</v>
      </c>
      <c r="D1443">
        <v>144</v>
      </c>
    </row>
    <row r="1444" spans="1:4" x14ac:dyDescent="0.3">
      <c r="A1444" t="s">
        <v>1969</v>
      </c>
      <c r="B1444" t="s">
        <v>1988</v>
      </c>
      <c r="C1444">
        <v>70</v>
      </c>
      <c r="D1444">
        <v>61</v>
      </c>
    </row>
    <row r="1445" spans="1:4" x14ac:dyDescent="0.3">
      <c r="A1445" t="s">
        <v>1969</v>
      </c>
      <c r="B1445" t="s">
        <v>1984</v>
      </c>
      <c r="C1445">
        <v>80</v>
      </c>
      <c r="D1445">
        <v>70</v>
      </c>
    </row>
    <row r="1446" spans="1:4" x14ac:dyDescent="0.3">
      <c r="A1446" t="s">
        <v>1969</v>
      </c>
      <c r="B1446" t="s">
        <v>1991</v>
      </c>
      <c r="C1446">
        <v>500</v>
      </c>
      <c r="D1446">
        <v>455</v>
      </c>
    </row>
    <row r="1447" spans="1:4" x14ac:dyDescent="0.3">
      <c r="A1447" t="s">
        <v>1969</v>
      </c>
      <c r="B1447" t="s">
        <v>1986</v>
      </c>
      <c r="C1447">
        <v>500</v>
      </c>
      <c r="D1447">
        <v>490</v>
      </c>
    </row>
    <row r="1448" spans="1:4" x14ac:dyDescent="0.3">
      <c r="A1448" t="s">
        <v>1969</v>
      </c>
      <c r="B1448" t="s">
        <v>1949</v>
      </c>
      <c r="C1448">
        <v>700</v>
      </c>
      <c r="D1448">
        <v>644</v>
      </c>
    </row>
    <row r="1449" spans="1:4" x14ac:dyDescent="0.3">
      <c r="A1449" t="s">
        <v>1969</v>
      </c>
      <c r="B1449" t="s">
        <v>1949</v>
      </c>
      <c r="C1449">
        <v>700</v>
      </c>
      <c r="D1449">
        <v>658</v>
      </c>
    </row>
    <row r="1450" spans="1:4" x14ac:dyDescent="0.3">
      <c r="A1450" t="s">
        <v>1969</v>
      </c>
      <c r="B1450" t="s">
        <v>1987</v>
      </c>
      <c r="C1450">
        <v>50</v>
      </c>
      <c r="D1450">
        <v>49</v>
      </c>
    </row>
    <row r="1451" spans="1:4" x14ac:dyDescent="0.3">
      <c r="A1451" t="s">
        <v>1969</v>
      </c>
      <c r="B1451" t="s">
        <v>1992</v>
      </c>
      <c r="C1451">
        <v>30</v>
      </c>
      <c r="D1451">
        <v>29</v>
      </c>
    </row>
    <row r="1452" spans="1:4" x14ac:dyDescent="0.3">
      <c r="A1452" t="s">
        <v>1969</v>
      </c>
      <c r="B1452" t="s">
        <v>1950</v>
      </c>
      <c r="C1452">
        <v>1000</v>
      </c>
      <c r="D1452">
        <v>590</v>
      </c>
    </row>
    <row r="1453" spans="1:4" x14ac:dyDescent="0.3">
      <c r="A1453" t="s">
        <v>1969</v>
      </c>
      <c r="B1453" t="s">
        <v>1992</v>
      </c>
      <c r="C1453">
        <v>30</v>
      </c>
      <c r="D1453">
        <v>28</v>
      </c>
    </row>
    <row r="1454" spans="1:4" x14ac:dyDescent="0.3">
      <c r="A1454" t="s">
        <v>1969</v>
      </c>
      <c r="B1454" t="s">
        <v>1949</v>
      </c>
      <c r="C1454">
        <v>700</v>
      </c>
      <c r="D1454">
        <v>539</v>
      </c>
    </row>
    <row r="1455" spans="1:4" x14ac:dyDescent="0.3">
      <c r="A1455" t="s">
        <v>1969</v>
      </c>
      <c r="B1455" t="s">
        <v>1985</v>
      </c>
      <c r="C1455">
        <v>250</v>
      </c>
      <c r="D1455">
        <v>193</v>
      </c>
    </row>
    <row r="1456" spans="1:4" x14ac:dyDescent="0.3">
      <c r="A1456" t="s">
        <v>1969</v>
      </c>
      <c r="B1456" t="s">
        <v>1948</v>
      </c>
      <c r="C1456">
        <v>800</v>
      </c>
      <c r="D1456">
        <v>576</v>
      </c>
    </row>
    <row r="1457" spans="1:4" x14ac:dyDescent="0.3">
      <c r="A1457" t="s">
        <v>1969</v>
      </c>
      <c r="B1457" t="s">
        <v>1948</v>
      </c>
      <c r="C1457">
        <v>800</v>
      </c>
      <c r="D1457">
        <v>664</v>
      </c>
    </row>
    <row r="1458" spans="1:4" x14ac:dyDescent="0.3">
      <c r="A1458" t="s">
        <v>1969</v>
      </c>
      <c r="B1458" t="s">
        <v>1988</v>
      </c>
      <c r="C1458">
        <v>70</v>
      </c>
      <c r="D1458">
        <v>69</v>
      </c>
    </row>
    <row r="1459" spans="1:4" x14ac:dyDescent="0.3">
      <c r="A1459" t="s">
        <v>1969</v>
      </c>
      <c r="B1459" t="s">
        <v>1984</v>
      </c>
      <c r="C1459">
        <v>80</v>
      </c>
      <c r="D1459">
        <v>50</v>
      </c>
    </row>
    <row r="1460" spans="1:4" x14ac:dyDescent="0.3">
      <c r="A1460" t="s">
        <v>1969</v>
      </c>
      <c r="B1460" t="s">
        <v>1986</v>
      </c>
      <c r="C1460">
        <v>500</v>
      </c>
      <c r="D1460">
        <v>490</v>
      </c>
    </row>
    <row r="1461" spans="1:4" x14ac:dyDescent="0.3">
      <c r="A1461" t="s">
        <v>1969</v>
      </c>
      <c r="B1461" t="s">
        <v>1990</v>
      </c>
      <c r="C1461">
        <v>50</v>
      </c>
      <c r="D1461">
        <v>38</v>
      </c>
    </row>
    <row r="1462" spans="1:4" x14ac:dyDescent="0.3">
      <c r="A1462" t="s">
        <v>1969</v>
      </c>
      <c r="B1462" t="s">
        <v>1985</v>
      </c>
      <c r="C1462">
        <v>250</v>
      </c>
      <c r="D1462">
        <v>243</v>
      </c>
    </row>
    <row r="1463" spans="1:4" x14ac:dyDescent="0.3">
      <c r="A1463" t="s">
        <v>1969</v>
      </c>
      <c r="B1463" t="s">
        <v>1989</v>
      </c>
      <c r="C1463">
        <v>150</v>
      </c>
      <c r="D1463">
        <v>107</v>
      </c>
    </row>
    <row r="1464" spans="1:4" x14ac:dyDescent="0.3">
      <c r="A1464" t="s">
        <v>1969</v>
      </c>
      <c r="B1464" t="s">
        <v>1990</v>
      </c>
      <c r="C1464">
        <v>50</v>
      </c>
      <c r="D1464">
        <v>42</v>
      </c>
    </row>
    <row r="1465" spans="1:4" x14ac:dyDescent="0.3">
      <c r="A1465" t="s">
        <v>1969</v>
      </c>
      <c r="B1465" t="s">
        <v>1992</v>
      </c>
      <c r="C1465">
        <v>30</v>
      </c>
      <c r="D1465">
        <v>23</v>
      </c>
    </row>
    <row r="1466" spans="1:4" x14ac:dyDescent="0.3">
      <c r="A1466" t="s">
        <v>1969</v>
      </c>
      <c r="B1466" t="s">
        <v>1985</v>
      </c>
      <c r="C1466">
        <v>250</v>
      </c>
      <c r="D1466">
        <v>223</v>
      </c>
    </row>
    <row r="1467" spans="1:4" x14ac:dyDescent="0.3">
      <c r="A1467" t="s">
        <v>1969</v>
      </c>
      <c r="B1467" t="s">
        <v>1991</v>
      </c>
      <c r="C1467">
        <v>500</v>
      </c>
      <c r="D1467">
        <v>370</v>
      </c>
    </row>
    <row r="1468" spans="1:4" x14ac:dyDescent="0.3">
      <c r="A1468" t="s">
        <v>1969</v>
      </c>
      <c r="B1468" t="s">
        <v>1989</v>
      </c>
      <c r="C1468">
        <v>150</v>
      </c>
      <c r="D1468">
        <v>128</v>
      </c>
    </row>
    <row r="1469" spans="1:4" x14ac:dyDescent="0.3">
      <c r="A1469" t="s">
        <v>1969</v>
      </c>
      <c r="B1469" t="s">
        <v>1950</v>
      </c>
      <c r="C1469">
        <v>1000</v>
      </c>
      <c r="D1469">
        <v>510</v>
      </c>
    </row>
    <row r="1470" spans="1:4" x14ac:dyDescent="0.3">
      <c r="A1470" t="s">
        <v>1970</v>
      </c>
      <c r="B1470" t="s">
        <v>1987</v>
      </c>
      <c r="C1470">
        <v>50</v>
      </c>
      <c r="D1470">
        <v>50</v>
      </c>
    </row>
    <row r="1471" spans="1:4" x14ac:dyDescent="0.3">
      <c r="A1471" t="s">
        <v>1970</v>
      </c>
      <c r="B1471" t="s">
        <v>1986</v>
      </c>
      <c r="C1471">
        <v>500</v>
      </c>
      <c r="D1471">
        <v>490</v>
      </c>
    </row>
    <row r="1472" spans="1:4" x14ac:dyDescent="0.3">
      <c r="A1472" t="s">
        <v>1970</v>
      </c>
      <c r="B1472" t="s">
        <v>1992</v>
      </c>
      <c r="C1472">
        <v>30</v>
      </c>
      <c r="D1472">
        <v>30</v>
      </c>
    </row>
    <row r="1473" spans="1:4" x14ac:dyDescent="0.3">
      <c r="A1473" t="s">
        <v>1970</v>
      </c>
      <c r="B1473" t="s">
        <v>1991</v>
      </c>
      <c r="C1473">
        <v>500</v>
      </c>
      <c r="D1473">
        <v>475</v>
      </c>
    </row>
    <row r="1474" spans="1:4" x14ac:dyDescent="0.3">
      <c r="A1474" t="s">
        <v>1970</v>
      </c>
      <c r="B1474" t="s">
        <v>1991</v>
      </c>
      <c r="C1474">
        <v>500</v>
      </c>
      <c r="D1474">
        <v>485</v>
      </c>
    </row>
    <row r="1475" spans="1:4" x14ac:dyDescent="0.3">
      <c r="A1475" t="s">
        <v>1970</v>
      </c>
      <c r="B1475" t="s">
        <v>1986</v>
      </c>
      <c r="C1475">
        <v>500</v>
      </c>
      <c r="D1475">
        <v>495</v>
      </c>
    </row>
    <row r="1476" spans="1:4" x14ac:dyDescent="0.3">
      <c r="A1476" t="s">
        <v>1970</v>
      </c>
      <c r="B1476" t="s">
        <v>1988</v>
      </c>
      <c r="C1476">
        <v>70</v>
      </c>
      <c r="D1476">
        <v>69</v>
      </c>
    </row>
    <row r="1477" spans="1:4" x14ac:dyDescent="0.3">
      <c r="A1477" t="s">
        <v>1970</v>
      </c>
      <c r="B1477" t="s">
        <v>1987</v>
      </c>
      <c r="C1477">
        <v>50</v>
      </c>
      <c r="D1477">
        <v>46</v>
      </c>
    </row>
    <row r="1478" spans="1:4" x14ac:dyDescent="0.3">
      <c r="A1478" t="s">
        <v>1970</v>
      </c>
      <c r="B1478" t="s">
        <v>1989</v>
      </c>
      <c r="C1478">
        <v>150</v>
      </c>
      <c r="D1478">
        <v>135</v>
      </c>
    </row>
    <row r="1479" spans="1:4" x14ac:dyDescent="0.3">
      <c r="A1479" t="s">
        <v>1970</v>
      </c>
      <c r="B1479" t="s">
        <v>1992</v>
      </c>
      <c r="C1479">
        <v>30</v>
      </c>
      <c r="D1479">
        <v>27</v>
      </c>
    </row>
    <row r="1480" spans="1:4" x14ac:dyDescent="0.3">
      <c r="A1480" t="s">
        <v>1970</v>
      </c>
      <c r="B1480" t="s">
        <v>1988</v>
      </c>
      <c r="C1480">
        <v>70</v>
      </c>
      <c r="D1480">
        <v>64</v>
      </c>
    </row>
    <row r="1481" spans="1:4" x14ac:dyDescent="0.3">
      <c r="A1481" t="s">
        <v>1970</v>
      </c>
      <c r="B1481" t="s">
        <v>1948</v>
      </c>
      <c r="C1481">
        <v>800</v>
      </c>
      <c r="D1481">
        <v>664</v>
      </c>
    </row>
    <row r="1482" spans="1:4" x14ac:dyDescent="0.3">
      <c r="A1482" t="s">
        <v>1970</v>
      </c>
      <c r="B1482" t="s">
        <v>1989</v>
      </c>
      <c r="C1482">
        <v>150</v>
      </c>
      <c r="D1482">
        <v>138</v>
      </c>
    </row>
    <row r="1483" spans="1:4" x14ac:dyDescent="0.3">
      <c r="A1483" t="s">
        <v>1970</v>
      </c>
      <c r="B1483" t="s">
        <v>1992</v>
      </c>
      <c r="C1483">
        <v>30</v>
      </c>
      <c r="D1483">
        <v>27</v>
      </c>
    </row>
    <row r="1484" spans="1:4" x14ac:dyDescent="0.3">
      <c r="A1484" t="s">
        <v>1970</v>
      </c>
      <c r="B1484" t="s">
        <v>1991</v>
      </c>
      <c r="C1484">
        <v>500</v>
      </c>
      <c r="D1484">
        <v>500</v>
      </c>
    </row>
    <row r="1485" spans="1:4" x14ac:dyDescent="0.3">
      <c r="A1485" t="s">
        <v>1970</v>
      </c>
      <c r="B1485" t="s">
        <v>1984</v>
      </c>
      <c r="C1485">
        <v>80</v>
      </c>
      <c r="D1485">
        <v>73</v>
      </c>
    </row>
    <row r="1486" spans="1:4" x14ac:dyDescent="0.3">
      <c r="A1486" t="s">
        <v>1970</v>
      </c>
      <c r="B1486" t="s">
        <v>1990</v>
      </c>
      <c r="C1486">
        <v>50</v>
      </c>
      <c r="D1486">
        <v>50</v>
      </c>
    </row>
    <row r="1487" spans="1:4" x14ac:dyDescent="0.3">
      <c r="A1487" t="s">
        <v>1970</v>
      </c>
      <c r="B1487" t="s">
        <v>1948</v>
      </c>
      <c r="C1487">
        <v>800</v>
      </c>
      <c r="D1487">
        <v>600</v>
      </c>
    </row>
    <row r="1488" spans="1:4" x14ac:dyDescent="0.3">
      <c r="A1488" t="s">
        <v>1970</v>
      </c>
      <c r="B1488" t="s">
        <v>1987</v>
      </c>
      <c r="C1488">
        <v>50</v>
      </c>
      <c r="D1488">
        <v>46</v>
      </c>
    </row>
    <row r="1489" spans="1:4" x14ac:dyDescent="0.3">
      <c r="A1489" t="s">
        <v>1970</v>
      </c>
      <c r="B1489" t="s">
        <v>1990</v>
      </c>
      <c r="C1489">
        <v>50</v>
      </c>
      <c r="D1489">
        <v>49</v>
      </c>
    </row>
    <row r="1490" spans="1:4" x14ac:dyDescent="0.3">
      <c r="A1490" t="s">
        <v>1970</v>
      </c>
      <c r="B1490" t="s">
        <v>1949</v>
      </c>
      <c r="C1490">
        <v>700</v>
      </c>
      <c r="D1490">
        <v>623</v>
      </c>
    </row>
    <row r="1491" spans="1:4" x14ac:dyDescent="0.3">
      <c r="A1491" t="s">
        <v>1970</v>
      </c>
      <c r="B1491" t="s">
        <v>1991</v>
      </c>
      <c r="C1491">
        <v>500</v>
      </c>
      <c r="D1491">
        <v>485</v>
      </c>
    </row>
    <row r="1492" spans="1:4" x14ac:dyDescent="0.3">
      <c r="A1492" t="s">
        <v>1970</v>
      </c>
      <c r="B1492" t="s">
        <v>1991</v>
      </c>
      <c r="C1492">
        <v>500</v>
      </c>
      <c r="D1492">
        <v>465</v>
      </c>
    </row>
    <row r="1493" spans="1:4" x14ac:dyDescent="0.3">
      <c r="A1493" t="s">
        <v>1970</v>
      </c>
      <c r="B1493" t="s">
        <v>1985</v>
      </c>
      <c r="C1493">
        <v>250</v>
      </c>
      <c r="D1493">
        <v>220</v>
      </c>
    </row>
    <row r="1494" spans="1:4" x14ac:dyDescent="0.3">
      <c r="A1494" t="s">
        <v>1970</v>
      </c>
      <c r="B1494" t="s">
        <v>1984</v>
      </c>
      <c r="C1494">
        <v>80</v>
      </c>
      <c r="D1494">
        <v>68</v>
      </c>
    </row>
    <row r="1495" spans="1:4" x14ac:dyDescent="0.3">
      <c r="A1495" t="s">
        <v>1970</v>
      </c>
      <c r="B1495" t="s">
        <v>1986</v>
      </c>
      <c r="C1495">
        <v>500</v>
      </c>
      <c r="D1495">
        <v>490</v>
      </c>
    </row>
    <row r="1496" spans="1:4" x14ac:dyDescent="0.3">
      <c r="A1496" t="s">
        <v>1970</v>
      </c>
      <c r="B1496" t="s">
        <v>1987</v>
      </c>
      <c r="C1496">
        <v>50</v>
      </c>
      <c r="D1496">
        <v>43</v>
      </c>
    </row>
    <row r="1497" spans="1:4" x14ac:dyDescent="0.3">
      <c r="A1497" t="s">
        <v>1970</v>
      </c>
      <c r="B1497" t="s">
        <v>1988</v>
      </c>
      <c r="C1497">
        <v>70</v>
      </c>
      <c r="D1497">
        <v>60</v>
      </c>
    </row>
    <row r="1498" spans="1:4" x14ac:dyDescent="0.3">
      <c r="A1498" t="s">
        <v>1970</v>
      </c>
      <c r="B1498" t="s">
        <v>1985</v>
      </c>
      <c r="C1498">
        <v>250</v>
      </c>
      <c r="D1498">
        <v>218</v>
      </c>
    </row>
    <row r="1499" spans="1:4" x14ac:dyDescent="0.3">
      <c r="A1499" t="s">
        <v>1970</v>
      </c>
      <c r="B1499" t="s">
        <v>1949</v>
      </c>
      <c r="C1499">
        <v>700</v>
      </c>
      <c r="D1499">
        <v>420</v>
      </c>
    </row>
    <row r="1500" spans="1:4" x14ac:dyDescent="0.3">
      <c r="A1500" t="s">
        <v>1970</v>
      </c>
      <c r="B1500" t="s">
        <v>1991</v>
      </c>
      <c r="C1500">
        <v>500</v>
      </c>
      <c r="D1500">
        <v>425</v>
      </c>
    </row>
    <row r="1501" spans="1:4" x14ac:dyDescent="0.3">
      <c r="A1501" t="s">
        <v>1970</v>
      </c>
      <c r="B1501" t="s">
        <v>1991</v>
      </c>
      <c r="C1501">
        <v>500</v>
      </c>
      <c r="D1501">
        <v>480</v>
      </c>
    </row>
    <row r="1502" spans="1:4" x14ac:dyDescent="0.3">
      <c r="A1502" t="s">
        <v>1970</v>
      </c>
      <c r="B1502" t="s">
        <v>1987</v>
      </c>
      <c r="C1502">
        <v>50</v>
      </c>
      <c r="D1502">
        <v>46</v>
      </c>
    </row>
    <row r="1503" spans="1:4" x14ac:dyDescent="0.3">
      <c r="A1503" t="s">
        <v>1970</v>
      </c>
      <c r="B1503" t="s">
        <v>1948</v>
      </c>
      <c r="C1503">
        <v>800</v>
      </c>
      <c r="D1503">
        <v>448</v>
      </c>
    </row>
    <row r="1504" spans="1:4" x14ac:dyDescent="0.3">
      <c r="A1504" t="s">
        <v>1970</v>
      </c>
      <c r="B1504" t="s">
        <v>1992</v>
      </c>
      <c r="C1504">
        <v>30</v>
      </c>
      <c r="D1504">
        <v>28</v>
      </c>
    </row>
    <row r="1505" spans="1:4" x14ac:dyDescent="0.3">
      <c r="A1505" t="s">
        <v>1970</v>
      </c>
      <c r="B1505" t="s">
        <v>1988</v>
      </c>
      <c r="C1505">
        <v>70</v>
      </c>
      <c r="D1505">
        <v>63</v>
      </c>
    </row>
    <row r="1506" spans="1:4" x14ac:dyDescent="0.3">
      <c r="A1506" t="s">
        <v>1970</v>
      </c>
      <c r="B1506" t="s">
        <v>1987</v>
      </c>
      <c r="C1506">
        <v>50</v>
      </c>
      <c r="D1506">
        <v>36</v>
      </c>
    </row>
    <row r="1507" spans="1:4" x14ac:dyDescent="0.3">
      <c r="A1507" t="s">
        <v>1970</v>
      </c>
      <c r="B1507" t="s">
        <v>1986</v>
      </c>
      <c r="C1507">
        <v>500</v>
      </c>
      <c r="D1507">
        <v>490</v>
      </c>
    </row>
    <row r="1508" spans="1:4" x14ac:dyDescent="0.3">
      <c r="A1508" t="s">
        <v>1970</v>
      </c>
      <c r="B1508" t="s">
        <v>1984</v>
      </c>
      <c r="C1508">
        <v>80</v>
      </c>
      <c r="D1508">
        <v>77</v>
      </c>
    </row>
    <row r="1509" spans="1:4" x14ac:dyDescent="0.3">
      <c r="A1509" t="s">
        <v>1970</v>
      </c>
      <c r="B1509" t="s">
        <v>1992</v>
      </c>
      <c r="C1509">
        <v>30</v>
      </c>
      <c r="D1509">
        <v>27</v>
      </c>
    </row>
    <row r="1510" spans="1:4" x14ac:dyDescent="0.3">
      <c r="A1510" t="s">
        <v>1970</v>
      </c>
      <c r="B1510" t="s">
        <v>1987</v>
      </c>
      <c r="C1510">
        <v>50</v>
      </c>
      <c r="D1510">
        <v>37</v>
      </c>
    </row>
    <row r="1511" spans="1:4" x14ac:dyDescent="0.3">
      <c r="A1511" t="s">
        <v>1970</v>
      </c>
      <c r="B1511" t="s">
        <v>1984</v>
      </c>
      <c r="C1511">
        <v>80</v>
      </c>
      <c r="D1511">
        <v>65</v>
      </c>
    </row>
    <row r="1512" spans="1:4" x14ac:dyDescent="0.3">
      <c r="A1512" t="s">
        <v>1971</v>
      </c>
      <c r="B1512" t="s">
        <v>1986</v>
      </c>
      <c r="C1512">
        <v>500</v>
      </c>
      <c r="D1512">
        <v>500</v>
      </c>
    </row>
    <row r="1513" spans="1:4" x14ac:dyDescent="0.3">
      <c r="A1513" t="s">
        <v>1971</v>
      </c>
      <c r="B1513" t="s">
        <v>1986</v>
      </c>
      <c r="C1513">
        <v>500</v>
      </c>
      <c r="D1513">
        <v>500</v>
      </c>
    </row>
    <row r="1514" spans="1:4" x14ac:dyDescent="0.3">
      <c r="A1514" t="s">
        <v>1971</v>
      </c>
      <c r="B1514" t="s">
        <v>1992</v>
      </c>
      <c r="C1514">
        <v>30</v>
      </c>
      <c r="D1514">
        <v>28</v>
      </c>
    </row>
    <row r="1515" spans="1:4" x14ac:dyDescent="0.3">
      <c r="A1515" t="s">
        <v>1971</v>
      </c>
      <c r="B1515" t="s">
        <v>1985</v>
      </c>
      <c r="C1515">
        <v>250</v>
      </c>
      <c r="D1515">
        <v>235</v>
      </c>
    </row>
    <row r="1516" spans="1:4" x14ac:dyDescent="0.3">
      <c r="A1516" t="s">
        <v>1971</v>
      </c>
      <c r="B1516" t="s">
        <v>1948</v>
      </c>
      <c r="C1516">
        <v>800</v>
      </c>
      <c r="D1516">
        <v>576</v>
      </c>
    </row>
    <row r="1517" spans="1:4" x14ac:dyDescent="0.3">
      <c r="A1517" t="s">
        <v>1971</v>
      </c>
      <c r="B1517" t="s">
        <v>1985</v>
      </c>
      <c r="C1517">
        <v>250</v>
      </c>
      <c r="D1517">
        <v>50</v>
      </c>
    </row>
    <row r="1518" spans="1:4" x14ac:dyDescent="0.3">
      <c r="A1518" t="s">
        <v>1971</v>
      </c>
      <c r="B1518" t="s">
        <v>1948</v>
      </c>
      <c r="C1518">
        <v>800</v>
      </c>
      <c r="D1518">
        <v>664</v>
      </c>
    </row>
    <row r="1519" spans="1:4" x14ac:dyDescent="0.3">
      <c r="A1519" t="s">
        <v>1971</v>
      </c>
      <c r="B1519" t="s">
        <v>1984</v>
      </c>
      <c r="C1519">
        <v>80</v>
      </c>
      <c r="D1519">
        <v>69</v>
      </c>
    </row>
    <row r="1520" spans="1:4" x14ac:dyDescent="0.3">
      <c r="A1520" t="s">
        <v>1971</v>
      </c>
      <c r="B1520" t="s">
        <v>1991</v>
      </c>
      <c r="C1520">
        <v>500</v>
      </c>
      <c r="D1520">
        <v>480</v>
      </c>
    </row>
    <row r="1521" spans="1:4" x14ac:dyDescent="0.3">
      <c r="A1521" t="s">
        <v>1971</v>
      </c>
      <c r="B1521" t="s">
        <v>1992</v>
      </c>
      <c r="C1521">
        <v>30</v>
      </c>
      <c r="D1521">
        <v>27</v>
      </c>
    </row>
    <row r="1522" spans="1:4" x14ac:dyDescent="0.3">
      <c r="A1522" t="s">
        <v>1971</v>
      </c>
      <c r="B1522" t="s">
        <v>1989</v>
      </c>
      <c r="C1522">
        <v>150</v>
      </c>
      <c r="D1522">
        <v>138</v>
      </c>
    </row>
    <row r="1523" spans="1:4" x14ac:dyDescent="0.3">
      <c r="A1523" t="s">
        <v>1971</v>
      </c>
      <c r="B1523" t="s">
        <v>1992</v>
      </c>
      <c r="C1523">
        <v>30</v>
      </c>
      <c r="D1523">
        <v>25</v>
      </c>
    </row>
    <row r="1524" spans="1:4" x14ac:dyDescent="0.3">
      <c r="A1524" t="s">
        <v>1971</v>
      </c>
      <c r="B1524" t="s">
        <v>1988</v>
      </c>
      <c r="C1524">
        <v>70</v>
      </c>
      <c r="D1524">
        <v>69</v>
      </c>
    </row>
    <row r="1525" spans="1:4" x14ac:dyDescent="0.3">
      <c r="A1525" t="s">
        <v>1971</v>
      </c>
      <c r="B1525" t="s">
        <v>1984</v>
      </c>
      <c r="C1525">
        <v>80</v>
      </c>
      <c r="D1525">
        <v>74</v>
      </c>
    </row>
    <row r="1526" spans="1:4" x14ac:dyDescent="0.3">
      <c r="A1526" t="s">
        <v>1971</v>
      </c>
      <c r="B1526" t="s">
        <v>1985</v>
      </c>
      <c r="C1526">
        <v>250</v>
      </c>
      <c r="D1526">
        <v>248</v>
      </c>
    </row>
    <row r="1527" spans="1:4" x14ac:dyDescent="0.3">
      <c r="A1527" t="s">
        <v>1971</v>
      </c>
      <c r="B1527" t="s">
        <v>1985</v>
      </c>
      <c r="C1527">
        <v>250</v>
      </c>
      <c r="D1527">
        <v>103</v>
      </c>
    </row>
    <row r="1528" spans="1:4" x14ac:dyDescent="0.3">
      <c r="A1528" t="s">
        <v>1971</v>
      </c>
      <c r="B1528" t="s">
        <v>1984</v>
      </c>
      <c r="C1528">
        <v>80</v>
      </c>
      <c r="D1528">
        <v>69</v>
      </c>
    </row>
    <row r="1529" spans="1:4" x14ac:dyDescent="0.3">
      <c r="A1529" t="s">
        <v>1971</v>
      </c>
      <c r="B1529" t="s">
        <v>1992</v>
      </c>
      <c r="C1529">
        <v>30</v>
      </c>
      <c r="D1529">
        <v>8</v>
      </c>
    </row>
    <row r="1530" spans="1:4" x14ac:dyDescent="0.3">
      <c r="A1530" t="s">
        <v>1971</v>
      </c>
      <c r="B1530" t="s">
        <v>1948</v>
      </c>
      <c r="C1530">
        <v>800</v>
      </c>
      <c r="D1530">
        <v>520</v>
      </c>
    </row>
    <row r="1531" spans="1:4" x14ac:dyDescent="0.3">
      <c r="A1531" t="s">
        <v>1971</v>
      </c>
      <c r="B1531" t="s">
        <v>1992</v>
      </c>
      <c r="C1531">
        <v>30</v>
      </c>
      <c r="D1531">
        <v>26</v>
      </c>
    </row>
    <row r="1532" spans="1:4" x14ac:dyDescent="0.3">
      <c r="A1532" t="s">
        <v>1971</v>
      </c>
      <c r="B1532" t="s">
        <v>1985</v>
      </c>
      <c r="C1532">
        <v>250</v>
      </c>
      <c r="D1532">
        <v>225</v>
      </c>
    </row>
    <row r="1533" spans="1:4" x14ac:dyDescent="0.3">
      <c r="A1533" t="s">
        <v>1971</v>
      </c>
      <c r="B1533" t="s">
        <v>1988</v>
      </c>
      <c r="C1533">
        <v>70</v>
      </c>
      <c r="D1533">
        <v>60</v>
      </c>
    </row>
    <row r="1534" spans="1:4" x14ac:dyDescent="0.3">
      <c r="A1534" t="s">
        <v>1971</v>
      </c>
      <c r="B1534" t="s">
        <v>1987</v>
      </c>
      <c r="C1534">
        <v>50</v>
      </c>
      <c r="D1534">
        <v>46</v>
      </c>
    </row>
    <row r="1535" spans="1:4" x14ac:dyDescent="0.3">
      <c r="A1535" t="s">
        <v>1971</v>
      </c>
      <c r="B1535" t="s">
        <v>1986</v>
      </c>
      <c r="C1535">
        <v>500</v>
      </c>
      <c r="D1535">
        <v>500</v>
      </c>
    </row>
    <row r="1536" spans="1:4" x14ac:dyDescent="0.3">
      <c r="A1536" t="s">
        <v>1971</v>
      </c>
      <c r="B1536" t="s">
        <v>1985</v>
      </c>
      <c r="C1536">
        <v>250</v>
      </c>
      <c r="D1536">
        <v>173</v>
      </c>
    </row>
    <row r="1537" spans="1:4" x14ac:dyDescent="0.3">
      <c r="A1537" t="s">
        <v>1971</v>
      </c>
      <c r="B1537" t="s">
        <v>1991</v>
      </c>
      <c r="C1537">
        <v>500</v>
      </c>
      <c r="D1537">
        <v>310</v>
      </c>
    </row>
    <row r="1538" spans="1:4" x14ac:dyDescent="0.3">
      <c r="A1538" t="s">
        <v>1971</v>
      </c>
      <c r="B1538" t="s">
        <v>1949</v>
      </c>
      <c r="C1538">
        <v>700</v>
      </c>
      <c r="D1538">
        <v>623</v>
      </c>
    </row>
    <row r="1539" spans="1:4" x14ac:dyDescent="0.3">
      <c r="A1539" t="s">
        <v>1971</v>
      </c>
      <c r="B1539" t="s">
        <v>1985</v>
      </c>
      <c r="C1539">
        <v>250</v>
      </c>
      <c r="D1539">
        <v>160</v>
      </c>
    </row>
    <row r="1540" spans="1:4" x14ac:dyDescent="0.3">
      <c r="A1540" t="s">
        <v>1971</v>
      </c>
      <c r="B1540" t="s">
        <v>1985</v>
      </c>
      <c r="C1540">
        <v>250</v>
      </c>
      <c r="D1540">
        <v>190</v>
      </c>
    </row>
    <row r="1541" spans="1:4" x14ac:dyDescent="0.3">
      <c r="A1541" t="s">
        <v>1971</v>
      </c>
      <c r="B1541" t="s">
        <v>1986</v>
      </c>
      <c r="C1541">
        <v>500</v>
      </c>
      <c r="D1541">
        <v>500</v>
      </c>
    </row>
    <row r="1542" spans="1:4" x14ac:dyDescent="0.3">
      <c r="A1542" t="s">
        <v>1971</v>
      </c>
      <c r="B1542" t="s">
        <v>1987</v>
      </c>
      <c r="C1542">
        <v>50</v>
      </c>
      <c r="D1542">
        <v>46</v>
      </c>
    </row>
    <row r="1543" spans="1:4" x14ac:dyDescent="0.3">
      <c r="A1543" t="s">
        <v>1971</v>
      </c>
      <c r="B1543" t="s">
        <v>1949</v>
      </c>
      <c r="C1543">
        <v>700</v>
      </c>
      <c r="D1543">
        <v>434</v>
      </c>
    </row>
    <row r="1544" spans="1:4" x14ac:dyDescent="0.3">
      <c r="A1544" t="s">
        <v>1971</v>
      </c>
      <c r="B1544" t="s">
        <v>1992</v>
      </c>
      <c r="C1544">
        <v>30</v>
      </c>
      <c r="D1544">
        <v>25</v>
      </c>
    </row>
    <row r="1545" spans="1:4" x14ac:dyDescent="0.3">
      <c r="A1545" t="s">
        <v>1971</v>
      </c>
      <c r="B1545" t="s">
        <v>1949</v>
      </c>
      <c r="C1545">
        <v>700</v>
      </c>
      <c r="D1545">
        <v>476</v>
      </c>
    </row>
    <row r="1546" spans="1:4" x14ac:dyDescent="0.3">
      <c r="A1546" t="s">
        <v>1971</v>
      </c>
      <c r="B1546" t="s">
        <v>1989</v>
      </c>
      <c r="C1546">
        <v>150</v>
      </c>
      <c r="D1546">
        <v>101</v>
      </c>
    </row>
    <row r="1547" spans="1:4" x14ac:dyDescent="0.3">
      <c r="A1547" t="s">
        <v>1971</v>
      </c>
      <c r="B1547" t="s">
        <v>1985</v>
      </c>
      <c r="C1547">
        <v>250</v>
      </c>
      <c r="D1547">
        <v>248</v>
      </c>
    </row>
    <row r="1548" spans="1:4" x14ac:dyDescent="0.3">
      <c r="A1548" t="s">
        <v>1971</v>
      </c>
      <c r="B1548" t="s">
        <v>1985</v>
      </c>
      <c r="C1548">
        <v>250</v>
      </c>
      <c r="D1548">
        <v>73</v>
      </c>
    </row>
    <row r="1549" spans="1:4" x14ac:dyDescent="0.3">
      <c r="A1549" t="s">
        <v>1971</v>
      </c>
      <c r="B1549" t="s">
        <v>1991</v>
      </c>
      <c r="C1549">
        <v>500</v>
      </c>
      <c r="D1549">
        <v>415</v>
      </c>
    </row>
    <row r="1550" spans="1:4" x14ac:dyDescent="0.3">
      <c r="A1550" t="s">
        <v>1971</v>
      </c>
      <c r="B1550" t="s">
        <v>1950</v>
      </c>
      <c r="C1550">
        <v>1000</v>
      </c>
      <c r="D1550">
        <v>610</v>
      </c>
    </row>
    <row r="1551" spans="1:4" x14ac:dyDescent="0.3">
      <c r="A1551" t="s">
        <v>1971</v>
      </c>
      <c r="B1551" t="s">
        <v>1986</v>
      </c>
      <c r="C1551">
        <v>500</v>
      </c>
      <c r="D1551">
        <v>500</v>
      </c>
    </row>
    <row r="1552" spans="1:4" x14ac:dyDescent="0.3">
      <c r="A1552" t="s">
        <v>1971</v>
      </c>
      <c r="B1552" t="s">
        <v>1989</v>
      </c>
      <c r="C1552">
        <v>150</v>
      </c>
      <c r="D1552">
        <v>135</v>
      </c>
    </row>
    <row r="1553" spans="1:4" x14ac:dyDescent="0.3">
      <c r="A1553" t="s">
        <v>1971</v>
      </c>
      <c r="B1553" t="s">
        <v>1987</v>
      </c>
      <c r="C1553">
        <v>50</v>
      </c>
      <c r="D1553">
        <v>44</v>
      </c>
    </row>
    <row r="1554" spans="1:4" x14ac:dyDescent="0.3">
      <c r="A1554" t="s">
        <v>1971</v>
      </c>
      <c r="B1554" t="s">
        <v>1988</v>
      </c>
      <c r="C1554">
        <v>70</v>
      </c>
      <c r="D1554">
        <v>53</v>
      </c>
    </row>
    <row r="1555" spans="1:4" x14ac:dyDescent="0.3">
      <c r="A1555" t="s">
        <v>1972</v>
      </c>
      <c r="B1555" t="s">
        <v>1984</v>
      </c>
      <c r="C1555">
        <v>80</v>
      </c>
      <c r="D1555">
        <v>76</v>
      </c>
    </row>
    <row r="1556" spans="1:4" x14ac:dyDescent="0.3">
      <c r="A1556" t="s">
        <v>1972</v>
      </c>
      <c r="B1556" t="s">
        <v>1991</v>
      </c>
      <c r="C1556">
        <v>500</v>
      </c>
      <c r="D1556">
        <v>500</v>
      </c>
    </row>
    <row r="1557" spans="1:4" x14ac:dyDescent="0.3">
      <c r="A1557" t="s">
        <v>1972</v>
      </c>
      <c r="B1557" t="s">
        <v>1991</v>
      </c>
      <c r="C1557">
        <v>500</v>
      </c>
      <c r="D1557">
        <v>485</v>
      </c>
    </row>
    <row r="1558" spans="1:4" x14ac:dyDescent="0.3">
      <c r="A1558" t="s">
        <v>1972</v>
      </c>
      <c r="B1558" t="s">
        <v>1984</v>
      </c>
      <c r="C1558">
        <v>80</v>
      </c>
      <c r="D1558">
        <v>78</v>
      </c>
    </row>
    <row r="1559" spans="1:4" x14ac:dyDescent="0.3">
      <c r="A1559" t="s">
        <v>1972</v>
      </c>
      <c r="B1559" t="s">
        <v>1948</v>
      </c>
      <c r="C1559">
        <v>800</v>
      </c>
      <c r="D1559">
        <v>472</v>
      </c>
    </row>
    <row r="1560" spans="1:4" x14ac:dyDescent="0.3">
      <c r="A1560" t="s">
        <v>1972</v>
      </c>
      <c r="B1560" t="s">
        <v>1987</v>
      </c>
      <c r="C1560">
        <v>50</v>
      </c>
      <c r="D1560">
        <v>49</v>
      </c>
    </row>
    <row r="1561" spans="1:4" x14ac:dyDescent="0.3">
      <c r="A1561" t="s">
        <v>1972</v>
      </c>
      <c r="B1561" t="s">
        <v>1991</v>
      </c>
      <c r="C1561">
        <v>500</v>
      </c>
      <c r="D1561">
        <v>490</v>
      </c>
    </row>
    <row r="1562" spans="1:4" x14ac:dyDescent="0.3">
      <c r="A1562" t="s">
        <v>1972</v>
      </c>
      <c r="B1562" t="s">
        <v>1988</v>
      </c>
      <c r="C1562">
        <v>70</v>
      </c>
      <c r="D1562">
        <v>69</v>
      </c>
    </row>
    <row r="1563" spans="1:4" x14ac:dyDescent="0.3">
      <c r="A1563" t="s">
        <v>1972</v>
      </c>
      <c r="B1563" t="s">
        <v>1985</v>
      </c>
      <c r="C1563">
        <v>250</v>
      </c>
      <c r="D1563">
        <v>248</v>
      </c>
    </row>
    <row r="1564" spans="1:4" x14ac:dyDescent="0.3">
      <c r="A1564" t="s">
        <v>1972</v>
      </c>
      <c r="B1564" t="s">
        <v>1992</v>
      </c>
      <c r="C1564">
        <v>30</v>
      </c>
      <c r="D1564">
        <v>29</v>
      </c>
    </row>
    <row r="1565" spans="1:4" x14ac:dyDescent="0.3">
      <c r="A1565" t="s">
        <v>1972</v>
      </c>
      <c r="B1565" t="s">
        <v>1992</v>
      </c>
      <c r="C1565">
        <v>30</v>
      </c>
      <c r="D1565">
        <v>29</v>
      </c>
    </row>
    <row r="1566" spans="1:4" x14ac:dyDescent="0.3">
      <c r="A1566" t="s">
        <v>1972</v>
      </c>
      <c r="B1566" t="s">
        <v>1991</v>
      </c>
      <c r="C1566">
        <v>500</v>
      </c>
      <c r="D1566">
        <v>500</v>
      </c>
    </row>
    <row r="1567" spans="1:4" x14ac:dyDescent="0.3">
      <c r="A1567" t="s">
        <v>1972</v>
      </c>
      <c r="B1567" t="s">
        <v>1990</v>
      </c>
      <c r="C1567">
        <v>50</v>
      </c>
      <c r="D1567">
        <v>50</v>
      </c>
    </row>
    <row r="1568" spans="1:4" x14ac:dyDescent="0.3">
      <c r="A1568" t="s">
        <v>1972</v>
      </c>
      <c r="B1568" t="s">
        <v>1992</v>
      </c>
      <c r="C1568">
        <v>30</v>
      </c>
      <c r="D1568">
        <v>30</v>
      </c>
    </row>
    <row r="1569" spans="1:4" x14ac:dyDescent="0.3">
      <c r="A1569" t="s">
        <v>1972</v>
      </c>
      <c r="B1569" t="s">
        <v>1987</v>
      </c>
      <c r="C1569">
        <v>50</v>
      </c>
      <c r="D1569">
        <v>48</v>
      </c>
    </row>
    <row r="1570" spans="1:4" x14ac:dyDescent="0.3">
      <c r="A1570" t="s">
        <v>1972</v>
      </c>
      <c r="B1570" t="s">
        <v>1988</v>
      </c>
      <c r="C1570">
        <v>70</v>
      </c>
      <c r="D1570">
        <v>69</v>
      </c>
    </row>
    <row r="1571" spans="1:4" x14ac:dyDescent="0.3">
      <c r="A1571" t="s">
        <v>1972</v>
      </c>
      <c r="B1571" t="s">
        <v>1991</v>
      </c>
      <c r="C1571">
        <v>500</v>
      </c>
      <c r="D1571">
        <v>500</v>
      </c>
    </row>
    <row r="1572" spans="1:4" x14ac:dyDescent="0.3">
      <c r="A1572" t="s">
        <v>1972</v>
      </c>
      <c r="B1572" t="s">
        <v>1985</v>
      </c>
      <c r="C1572">
        <v>250</v>
      </c>
      <c r="D1572">
        <v>238</v>
      </c>
    </row>
    <row r="1573" spans="1:4" x14ac:dyDescent="0.3">
      <c r="A1573" t="s">
        <v>1972</v>
      </c>
      <c r="B1573" t="s">
        <v>1988</v>
      </c>
      <c r="C1573">
        <v>70</v>
      </c>
      <c r="D1573">
        <v>67</v>
      </c>
    </row>
    <row r="1574" spans="1:4" x14ac:dyDescent="0.3">
      <c r="A1574" t="s">
        <v>1972</v>
      </c>
      <c r="B1574" t="s">
        <v>1992</v>
      </c>
      <c r="C1574">
        <v>30</v>
      </c>
      <c r="D1574">
        <v>29</v>
      </c>
    </row>
    <row r="1575" spans="1:4" x14ac:dyDescent="0.3">
      <c r="A1575" t="s">
        <v>1972</v>
      </c>
      <c r="B1575" t="s">
        <v>1991</v>
      </c>
      <c r="C1575">
        <v>500</v>
      </c>
      <c r="D1575">
        <v>500</v>
      </c>
    </row>
    <row r="1576" spans="1:4" x14ac:dyDescent="0.3">
      <c r="A1576" t="s">
        <v>1972</v>
      </c>
      <c r="B1576" t="s">
        <v>1989</v>
      </c>
      <c r="C1576">
        <v>150</v>
      </c>
      <c r="D1576">
        <v>147</v>
      </c>
    </row>
    <row r="1577" spans="1:4" x14ac:dyDescent="0.3">
      <c r="A1577" t="s">
        <v>1972</v>
      </c>
      <c r="B1577" t="s">
        <v>1986</v>
      </c>
      <c r="C1577">
        <v>500</v>
      </c>
      <c r="D1577">
        <v>500</v>
      </c>
    </row>
    <row r="1578" spans="1:4" x14ac:dyDescent="0.3">
      <c r="A1578" t="s">
        <v>1972</v>
      </c>
      <c r="B1578" t="s">
        <v>1988</v>
      </c>
      <c r="C1578">
        <v>70</v>
      </c>
      <c r="D1578">
        <v>68</v>
      </c>
    </row>
    <row r="1579" spans="1:4" x14ac:dyDescent="0.3">
      <c r="A1579" t="s">
        <v>1972</v>
      </c>
      <c r="B1579" t="s">
        <v>1990</v>
      </c>
      <c r="C1579">
        <v>50</v>
      </c>
      <c r="D1579">
        <v>50</v>
      </c>
    </row>
    <row r="1580" spans="1:4" x14ac:dyDescent="0.3">
      <c r="A1580" t="s">
        <v>1972</v>
      </c>
      <c r="B1580" t="s">
        <v>1948</v>
      </c>
      <c r="C1580">
        <v>800</v>
      </c>
      <c r="D1580">
        <v>480</v>
      </c>
    </row>
    <row r="1581" spans="1:4" x14ac:dyDescent="0.3">
      <c r="A1581" t="s">
        <v>1972</v>
      </c>
      <c r="B1581" t="s">
        <v>1985</v>
      </c>
      <c r="C1581">
        <v>250</v>
      </c>
      <c r="D1581">
        <v>248</v>
      </c>
    </row>
    <row r="1582" spans="1:4" x14ac:dyDescent="0.3">
      <c r="A1582" t="s">
        <v>1972</v>
      </c>
      <c r="B1582" t="s">
        <v>1991</v>
      </c>
      <c r="C1582">
        <v>500</v>
      </c>
      <c r="D1582">
        <v>475</v>
      </c>
    </row>
    <row r="1583" spans="1:4" x14ac:dyDescent="0.3">
      <c r="A1583" t="s">
        <v>1972</v>
      </c>
      <c r="B1583" t="s">
        <v>1989</v>
      </c>
      <c r="C1583">
        <v>150</v>
      </c>
      <c r="D1583">
        <v>144</v>
      </c>
    </row>
    <row r="1584" spans="1:4" x14ac:dyDescent="0.3">
      <c r="A1584" t="s">
        <v>1972</v>
      </c>
      <c r="B1584" t="s">
        <v>1988</v>
      </c>
      <c r="C1584">
        <v>70</v>
      </c>
      <c r="D1584">
        <v>69</v>
      </c>
    </row>
    <row r="1585" spans="1:4" x14ac:dyDescent="0.3">
      <c r="A1585" t="s">
        <v>1972</v>
      </c>
      <c r="B1585" t="s">
        <v>1987</v>
      </c>
      <c r="C1585">
        <v>50</v>
      </c>
      <c r="D1585">
        <v>49</v>
      </c>
    </row>
    <row r="1586" spans="1:4" x14ac:dyDescent="0.3">
      <c r="A1586" t="s">
        <v>1972</v>
      </c>
      <c r="B1586" t="s">
        <v>1989</v>
      </c>
      <c r="C1586">
        <v>150</v>
      </c>
      <c r="D1586">
        <v>147</v>
      </c>
    </row>
    <row r="1587" spans="1:4" x14ac:dyDescent="0.3">
      <c r="A1587" t="s">
        <v>1972</v>
      </c>
      <c r="B1587" t="s">
        <v>1950</v>
      </c>
      <c r="C1587">
        <v>1000</v>
      </c>
      <c r="D1587">
        <v>670</v>
      </c>
    </row>
    <row r="1588" spans="1:4" x14ac:dyDescent="0.3">
      <c r="A1588" t="s">
        <v>1972</v>
      </c>
      <c r="B1588" t="s">
        <v>1990</v>
      </c>
      <c r="C1588">
        <v>50</v>
      </c>
      <c r="D1588">
        <v>50</v>
      </c>
    </row>
    <row r="1589" spans="1:4" x14ac:dyDescent="0.3">
      <c r="A1589" t="s">
        <v>1972</v>
      </c>
      <c r="B1589" t="s">
        <v>1948</v>
      </c>
      <c r="C1589">
        <v>800</v>
      </c>
      <c r="D1589">
        <v>648</v>
      </c>
    </row>
    <row r="1590" spans="1:4" x14ac:dyDescent="0.3">
      <c r="A1590" t="s">
        <v>1972</v>
      </c>
      <c r="B1590" t="s">
        <v>1985</v>
      </c>
      <c r="C1590">
        <v>250</v>
      </c>
      <c r="D1590">
        <v>248</v>
      </c>
    </row>
    <row r="1591" spans="1:4" x14ac:dyDescent="0.3">
      <c r="A1591" t="s">
        <v>1973</v>
      </c>
      <c r="B1591" t="s">
        <v>1989</v>
      </c>
      <c r="C1591">
        <v>150</v>
      </c>
      <c r="D1591">
        <v>147</v>
      </c>
    </row>
    <row r="1592" spans="1:4" x14ac:dyDescent="0.3">
      <c r="A1592" t="s">
        <v>1973</v>
      </c>
      <c r="B1592" t="s">
        <v>1948</v>
      </c>
      <c r="C1592">
        <v>800</v>
      </c>
      <c r="D1592">
        <v>480</v>
      </c>
    </row>
    <row r="1593" spans="1:4" x14ac:dyDescent="0.3">
      <c r="A1593" t="s">
        <v>1973</v>
      </c>
      <c r="B1593" t="s">
        <v>1948</v>
      </c>
      <c r="C1593">
        <v>800</v>
      </c>
      <c r="D1593">
        <v>640</v>
      </c>
    </row>
    <row r="1594" spans="1:4" x14ac:dyDescent="0.3">
      <c r="A1594" t="s">
        <v>1973</v>
      </c>
      <c r="B1594" t="s">
        <v>1990</v>
      </c>
      <c r="C1594">
        <v>50</v>
      </c>
      <c r="D1594">
        <v>49</v>
      </c>
    </row>
    <row r="1595" spans="1:4" x14ac:dyDescent="0.3">
      <c r="A1595" t="s">
        <v>1973</v>
      </c>
      <c r="B1595" t="s">
        <v>1984</v>
      </c>
      <c r="C1595">
        <v>80</v>
      </c>
      <c r="D1595">
        <v>78</v>
      </c>
    </row>
    <row r="1596" spans="1:4" x14ac:dyDescent="0.3">
      <c r="A1596" t="s">
        <v>1973</v>
      </c>
      <c r="B1596" t="s">
        <v>1984</v>
      </c>
      <c r="C1596">
        <v>80</v>
      </c>
      <c r="D1596">
        <v>79</v>
      </c>
    </row>
    <row r="1597" spans="1:4" x14ac:dyDescent="0.3">
      <c r="A1597" t="s">
        <v>1973</v>
      </c>
      <c r="B1597" t="s">
        <v>1986</v>
      </c>
      <c r="C1597">
        <v>500</v>
      </c>
      <c r="D1597">
        <v>490</v>
      </c>
    </row>
    <row r="1598" spans="1:4" x14ac:dyDescent="0.3">
      <c r="A1598" t="s">
        <v>1973</v>
      </c>
      <c r="B1598" t="s">
        <v>1992</v>
      </c>
      <c r="C1598">
        <v>30</v>
      </c>
      <c r="D1598">
        <v>29</v>
      </c>
    </row>
    <row r="1599" spans="1:4" x14ac:dyDescent="0.3">
      <c r="A1599" t="s">
        <v>1973</v>
      </c>
      <c r="B1599" t="s">
        <v>1984</v>
      </c>
      <c r="C1599">
        <v>80</v>
      </c>
      <c r="D1599">
        <v>79</v>
      </c>
    </row>
    <row r="1600" spans="1:4" x14ac:dyDescent="0.3">
      <c r="A1600" t="s">
        <v>1973</v>
      </c>
      <c r="B1600" t="s">
        <v>1988</v>
      </c>
      <c r="C1600">
        <v>70</v>
      </c>
      <c r="D1600">
        <v>69</v>
      </c>
    </row>
    <row r="1601" spans="1:4" x14ac:dyDescent="0.3">
      <c r="A1601" t="s">
        <v>1973</v>
      </c>
      <c r="B1601" t="s">
        <v>1989</v>
      </c>
      <c r="C1601">
        <v>150</v>
      </c>
      <c r="D1601">
        <v>143</v>
      </c>
    </row>
    <row r="1602" spans="1:4" x14ac:dyDescent="0.3">
      <c r="A1602" t="s">
        <v>1973</v>
      </c>
      <c r="B1602" t="s">
        <v>1987</v>
      </c>
      <c r="C1602">
        <v>50</v>
      </c>
      <c r="D1602">
        <v>50</v>
      </c>
    </row>
    <row r="1603" spans="1:4" x14ac:dyDescent="0.3">
      <c r="A1603" t="s">
        <v>1973</v>
      </c>
      <c r="B1603" t="s">
        <v>1991</v>
      </c>
      <c r="C1603">
        <v>500</v>
      </c>
      <c r="D1603">
        <v>480</v>
      </c>
    </row>
    <row r="1604" spans="1:4" x14ac:dyDescent="0.3">
      <c r="A1604" t="s">
        <v>1973</v>
      </c>
      <c r="B1604" t="s">
        <v>1990</v>
      </c>
      <c r="C1604">
        <v>50</v>
      </c>
      <c r="D1604">
        <v>49</v>
      </c>
    </row>
    <row r="1605" spans="1:4" x14ac:dyDescent="0.3">
      <c r="A1605" t="s">
        <v>1973</v>
      </c>
      <c r="B1605" t="s">
        <v>1984</v>
      </c>
      <c r="C1605">
        <v>80</v>
      </c>
      <c r="D1605">
        <v>76</v>
      </c>
    </row>
    <row r="1606" spans="1:4" x14ac:dyDescent="0.3">
      <c r="A1606" t="s">
        <v>1973</v>
      </c>
      <c r="B1606" t="s">
        <v>1989</v>
      </c>
      <c r="C1606">
        <v>150</v>
      </c>
      <c r="D1606">
        <v>147</v>
      </c>
    </row>
    <row r="1607" spans="1:4" x14ac:dyDescent="0.3">
      <c r="A1607" t="s">
        <v>1973</v>
      </c>
      <c r="B1607" t="s">
        <v>1985</v>
      </c>
      <c r="C1607">
        <v>250</v>
      </c>
      <c r="D1607">
        <v>250</v>
      </c>
    </row>
    <row r="1608" spans="1:4" x14ac:dyDescent="0.3">
      <c r="A1608" t="s">
        <v>1973</v>
      </c>
      <c r="B1608" t="s">
        <v>1984</v>
      </c>
      <c r="C1608">
        <v>80</v>
      </c>
      <c r="D1608">
        <v>76</v>
      </c>
    </row>
    <row r="1609" spans="1:4" x14ac:dyDescent="0.3">
      <c r="A1609" t="s">
        <v>1973</v>
      </c>
      <c r="B1609" t="s">
        <v>1991</v>
      </c>
      <c r="C1609">
        <v>500</v>
      </c>
      <c r="D1609">
        <v>485</v>
      </c>
    </row>
    <row r="1610" spans="1:4" x14ac:dyDescent="0.3">
      <c r="A1610" t="s">
        <v>1973</v>
      </c>
      <c r="B1610" t="s">
        <v>1989</v>
      </c>
      <c r="C1610">
        <v>150</v>
      </c>
      <c r="D1610">
        <v>149</v>
      </c>
    </row>
    <row r="1611" spans="1:4" x14ac:dyDescent="0.3">
      <c r="A1611" t="s">
        <v>1973</v>
      </c>
      <c r="B1611" t="s">
        <v>1989</v>
      </c>
      <c r="C1611">
        <v>150</v>
      </c>
      <c r="D1611">
        <v>149</v>
      </c>
    </row>
    <row r="1612" spans="1:4" x14ac:dyDescent="0.3">
      <c r="A1612" t="s">
        <v>1973</v>
      </c>
      <c r="B1612" t="s">
        <v>1991</v>
      </c>
      <c r="C1612">
        <v>500</v>
      </c>
      <c r="D1612">
        <v>475</v>
      </c>
    </row>
    <row r="1613" spans="1:4" x14ac:dyDescent="0.3">
      <c r="A1613" t="s">
        <v>1973</v>
      </c>
      <c r="B1613" t="s">
        <v>1991</v>
      </c>
      <c r="C1613">
        <v>500</v>
      </c>
      <c r="D1613">
        <v>480</v>
      </c>
    </row>
    <row r="1614" spans="1:4" x14ac:dyDescent="0.3">
      <c r="A1614" t="s">
        <v>1973</v>
      </c>
      <c r="B1614" t="s">
        <v>1991</v>
      </c>
      <c r="C1614">
        <v>500</v>
      </c>
      <c r="D1614">
        <v>490</v>
      </c>
    </row>
    <row r="1615" spans="1:4" x14ac:dyDescent="0.3">
      <c r="A1615" t="s">
        <v>1973</v>
      </c>
      <c r="B1615" t="s">
        <v>1984</v>
      </c>
      <c r="C1615">
        <v>80</v>
      </c>
      <c r="D1615">
        <v>77</v>
      </c>
    </row>
    <row r="1616" spans="1:4" x14ac:dyDescent="0.3">
      <c r="A1616" t="s">
        <v>1973</v>
      </c>
      <c r="B1616" t="s">
        <v>1986</v>
      </c>
      <c r="C1616">
        <v>500</v>
      </c>
      <c r="D1616">
        <v>495</v>
      </c>
    </row>
    <row r="1617" spans="1:4" x14ac:dyDescent="0.3">
      <c r="A1617" t="s">
        <v>1973</v>
      </c>
      <c r="B1617" t="s">
        <v>1984</v>
      </c>
      <c r="C1617">
        <v>80</v>
      </c>
      <c r="D1617">
        <v>78</v>
      </c>
    </row>
    <row r="1618" spans="1:4" x14ac:dyDescent="0.3">
      <c r="A1618" t="s">
        <v>1973</v>
      </c>
      <c r="B1618" t="s">
        <v>1949</v>
      </c>
      <c r="C1618">
        <v>700</v>
      </c>
      <c r="D1618">
        <v>665</v>
      </c>
    </row>
    <row r="1619" spans="1:4" x14ac:dyDescent="0.3">
      <c r="A1619" t="s">
        <v>1973</v>
      </c>
      <c r="B1619" t="s">
        <v>1992</v>
      </c>
      <c r="C1619">
        <v>30</v>
      </c>
      <c r="D1619">
        <v>30</v>
      </c>
    </row>
    <row r="1620" spans="1:4" x14ac:dyDescent="0.3">
      <c r="A1620" t="s">
        <v>1973</v>
      </c>
      <c r="B1620" t="s">
        <v>1987</v>
      </c>
      <c r="C1620">
        <v>50</v>
      </c>
      <c r="D1620">
        <v>49</v>
      </c>
    </row>
    <row r="1621" spans="1:4" x14ac:dyDescent="0.3">
      <c r="A1621" t="s">
        <v>1973</v>
      </c>
      <c r="B1621" t="s">
        <v>1991</v>
      </c>
      <c r="C1621">
        <v>500</v>
      </c>
      <c r="D1621">
        <v>480</v>
      </c>
    </row>
    <row r="1622" spans="1:4" x14ac:dyDescent="0.3">
      <c r="A1622" t="s">
        <v>1973</v>
      </c>
      <c r="B1622" t="s">
        <v>1948</v>
      </c>
      <c r="C1622">
        <v>800</v>
      </c>
      <c r="D1622">
        <v>576</v>
      </c>
    </row>
    <row r="1623" spans="1:4" x14ac:dyDescent="0.3">
      <c r="A1623" t="s">
        <v>1973</v>
      </c>
      <c r="B1623" t="s">
        <v>1949</v>
      </c>
      <c r="C1623">
        <v>700</v>
      </c>
      <c r="D1623">
        <v>665</v>
      </c>
    </row>
    <row r="1624" spans="1:4" x14ac:dyDescent="0.3">
      <c r="A1624" t="s">
        <v>1973</v>
      </c>
      <c r="B1624" t="s">
        <v>1950</v>
      </c>
      <c r="C1624">
        <v>1000</v>
      </c>
      <c r="D1624">
        <v>580</v>
      </c>
    </row>
    <row r="1625" spans="1:4" x14ac:dyDescent="0.3">
      <c r="A1625" t="s">
        <v>1973</v>
      </c>
      <c r="B1625" t="s">
        <v>1950</v>
      </c>
      <c r="C1625">
        <v>1000</v>
      </c>
      <c r="D1625">
        <v>630</v>
      </c>
    </row>
    <row r="1626" spans="1:4" x14ac:dyDescent="0.3">
      <c r="A1626" t="s">
        <v>1973</v>
      </c>
      <c r="B1626" t="s">
        <v>1984</v>
      </c>
      <c r="C1626">
        <v>80</v>
      </c>
      <c r="D1626">
        <v>78</v>
      </c>
    </row>
    <row r="1627" spans="1:4" x14ac:dyDescent="0.3">
      <c r="A1627" t="s">
        <v>1973</v>
      </c>
      <c r="B1627" t="s">
        <v>1949</v>
      </c>
      <c r="C1627">
        <v>700</v>
      </c>
      <c r="D1627">
        <v>665</v>
      </c>
    </row>
    <row r="1628" spans="1:4" x14ac:dyDescent="0.3">
      <c r="A1628" t="s">
        <v>1973</v>
      </c>
      <c r="B1628" t="s">
        <v>1948</v>
      </c>
      <c r="C1628">
        <v>800</v>
      </c>
      <c r="D1628">
        <v>608</v>
      </c>
    </row>
    <row r="1629" spans="1:4" x14ac:dyDescent="0.3">
      <c r="A1629" t="s">
        <v>1973</v>
      </c>
      <c r="B1629" t="s">
        <v>1987</v>
      </c>
      <c r="C1629">
        <v>50</v>
      </c>
      <c r="D1629">
        <v>50</v>
      </c>
    </row>
    <row r="1630" spans="1:4" x14ac:dyDescent="0.3">
      <c r="A1630" t="s">
        <v>1973</v>
      </c>
      <c r="B1630" t="s">
        <v>1948</v>
      </c>
      <c r="C1630">
        <v>800</v>
      </c>
      <c r="D1630">
        <v>528</v>
      </c>
    </row>
    <row r="1631" spans="1:4" x14ac:dyDescent="0.3">
      <c r="A1631" t="s">
        <v>1973</v>
      </c>
      <c r="B1631" t="s">
        <v>1990</v>
      </c>
      <c r="C1631">
        <v>50</v>
      </c>
      <c r="D1631">
        <v>48</v>
      </c>
    </row>
    <row r="1632" spans="1:4" x14ac:dyDescent="0.3">
      <c r="A1632" t="s">
        <v>1974</v>
      </c>
      <c r="B1632" t="s">
        <v>1990</v>
      </c>
      <c r="C1632">
        <v>50</v>
      </c>
      <c r="D1632">
        <v>48</v>
      </c>
    </row>
    <row r="1633" spans="1:4" x14ac:dyDescent="0.3">
      <c r="A1633" t="s">
        <v>1974</v>
      </c>
      <c r="B1633" t="s">
        <v>1992</v>
      </c>
      <c r="C1633">
        <v>30</v>
      </c>
      <c r="D1633">
        <v>30</v>
      </c>
    </row>
    <row r="1634" spans="1:4" x14ac:dyDescent="0.3">
      <c r="A1634" t="s">
        <v>1974</v>
      </c>
      <c r="B1634" t="s">
        <v>1992</v>
      </c>
      <c r="C1634">
        <v>30</v>
      </c>
      <c r="D1634">
        <v>27</v>
      </c>
    </row>
    <row r="1635" spans="1:4" x14ac:dyDescent="0.3">
      <c r="A1635" t="s">
        <v>1974</v>
      </c>
      <c r="B1635" t="s">
        <v>1989</v>
      </c>
      <c r="C1635">
        <v>150</v>
      </c>
      <c r="D1635">
        <v>143</v>
      </c>
    </row>
    <row r="1636" spans="1:4" x14ac:dyDescent="0.3">
      <c r="A1636" t="s">
        <v>1974</v>
      </c>
      <c r="B1636" t="s">
        <v>1991</v>
      </c>
      <c r="C1636">
        <v>500</v>
      </c>
      <c r="D1636">
        <v>465</v>
      </c>
    </row>
    <row r="1637" spans="1:4" x14ac:dyDescent="0.3">
      <c r="A1637" t="s">
        <v>1974</v>
      </c>
      <c r="B1637" t="s">
        <v>1984</v>
      </c>
      <c r="C1637">
        <v>80</v>
      </c>
      <c r="D1637">
        <v>74</v>
      </c>
    </row>
    <row r="1638" spans="1:4" x14ac:dyDescent="0.3">
      <c r="A1638" t="s">
        <v>1974</v>
      </c>
      <c r="B1638" t="s">
        <v>1988</v>
      </c>
      <c r="C1638">
        <v>70</v>
      </c>
      <c r="D1638">
        <v>60</v>
      </c>
    </row>
    <row r="1639" spans="1:4" x14ac:dyDescent="0.3">
      <c r="A1639" t="s">
        <v>1974</v>
      </c>
      <c r="B1639" t="s">
        <v>1990</v>
      </c>
      <c r="C1639">
        <v>50</v>
      </c>
      <c r="D1639">
        <v>43</v>
      </c>
    </row>
    <row r="1640" spans="1:4" x14ac:dyDescent="0.3">
      <c r="A1640" t="s">
        <v>1974</v>
      </c>
      <c r="B1640" t="s">
        <v>1990</v>
      </c>
      <c r="C1640">
        <v>50</v>
      </c>
      <c r="D1640">
        <v>50</v>
      </c>
    </row>
    <row r="1641" spans="1:4" x14ac:dyDescent="0.3">
      <c r="A1641" t="s">
        <v>1974</v>
      </c>
      <c r="B1641" t="s">
        <v>1990</v>
      </c>
      <c r="C1641">
        <v>50</v>
      </c>
      <c r="D1641">
        <v>45</v>
      </c>
    </row>
    <row r="1642" spans="1:4" x14ac:dyDescent="0.3">
      <c r="A1642" t="s">
        <v>1974</v>
      </c>
      <c r="B1642" t="s">
        <v>1990</v>
      </c>
      <c r="C1642">
        <v>50</v>
      </c>
      <c r="D1642">
        <v>46</v>
      </c>
    </row>
    <row r="1643" spans="1:4" x14ac:dyDescent="0.3">
      <c r="A1643" t="s">
        <v>1974</v>
      </c>
      <c r="B1643" t="s">
        <v>1987</v>
      </c>
      <c r="C1643">
        <v>50</v>
      </c>
      <c r="D1643">
        <v>47</v>
      </c>
    </row>
    <row r="1644" spans="1:4" x14ac:dyDescent="0.3">
      <c r="A1644" t="s">
        <v>1974</v>
      </c>
      <c r="B1644" t="s">
        <v>1985</v>
      </c>
      <c r="C1644">
        <v>250</v>
      </c>
      <c r="D1644">
        <v>225</v>
      </c>
    </row>
    <row r="1645" spans="1:4" x14ac:dyDescent="0.3">
      <c r="A1645" t="s">
        <v>1974</v>
      </c>
      <c r="B1645" t="s">
        <v>1988</v>
      </c>
      <c r="C1645">
        <v>70</v>
      </c>
      <c r="D1645">
        <v>63</v>
      </c>
    </row>
    <row r="1646" spans="1:4" x14ac:dyDescent="0.3">
      <c r="A1646" t="s">
        <v>1974</v>
      </c>
      <c r="B1646" t="s">
        <v>1988</v>
      </c>
      <c r="C1646">
        <v>70</v>
      </c>
      <c r="D1646">
        <v>68</v>
      </c>
    </row>
    <row r="1647" spans="1:4" x14ac:dyDescent="0.3">
      <c r="A1647" t="s">
        <v>1974</v>
      </c>
      <c r="B1647" t="s">
        <v>1950</v>
      </c>
      <c r="C1647">
        <v>1000</v>
      </c>
      <c r="D1647">
        <v>500</v>
      </c>
    </row>
    <row r="1648" spans="1:4" x14ac:dyDescent="0.3">
      <c r="A1648" t="s">
        <v>1974</v>
      </c>
      <c r="B1648" t="s">
        <v>1988</v>
      </c>
      <c r="C1648">
        <v>70</v>
      </c>
      <c r="D1648">
        <v>66</v>
      </c>
    </row>
    <row r="1649" spans="1:4" x14ac:dyDescent="0.3">
      <c r="A1649" t="s">
        <v>1974</v>
      </c>
      <c r="B1649" t="s">
        <v>1948</v>
      </c>
      <c r="C1649">
        <v>800</v>
      </c>
      <c r="D1649">
        <v>552</v>
      </c>
    </row>
    <row r="1650" spans="1:4" x14ac:dyDescent="0.3">
      <c r="A1650" t="s">
        <v>1974</v>
      </c>
      <c r="B1650" t="s">
        <v>1990</v>
      </c>
      <c r="C1650">
        <v>50</v>
      </c>
      <c r="D1650">
        <v>45</v>
      </c>
    </row>
    <row r="1651" spans="1:4" x14ac:dyDescent="0.3">
      <c r="A1651" t="s">
        <v>1974</v>
      </c>
      <c r="B1651" t="s">
        <v>1948</v>
      </c>
      <c r="C1651">
        <v>800</v>
      </c>
      <c r="D1651">
        <v>456</v>
      </c>
    </row>
    <row r="1652" spans="1:4" x14ac:dyDescent="0.3">
      <c r="A1652" t="s">
        <v>1974</v>
      </c>
      <c r="B1652" t="s">
        <v>1988</v>
      </c>
      <c r="C1652">
        <v>70</v>
      </c>
      <c r="D1652">
        <v>68</v>
      </c>
    </row>
    <row r="1653" spans="1:4" x14ac:dyDescent="0.3">
      <c r="A1653" t="s">
        <v>1974</v>
      </c>
      <c r="B1653" t="s">
        <v>1991</v>
      </c>
      <c r="C1653">
        <v>500</v>
      </c>
      <c r="D1653">
        <v>485</v>
      </c>
    </row>
    <row r="1654" spans="1:4" x14ac:dyDescent="0.3">
      <c r="A1654" t="s">
        <v>1974</v>
      </c>
      <c r="B1654" t="s">
        <v>1988</v>
      </c>
      <c r="C1654">
        <v>70</v>
      </c>
      <c r="D1654">
        <v>62</v>
      </c>
    </row>
    <row r="1655" spans="1:4" x14ac:dyDescent="0.3">
      <c r="A1655" t="s">
        <v>1974</v>
      </c>
      <c r="B1655" t="s">
        <v>1985</v>
      </c>
      <c r="C1655">
        <v>250</v>
      </c>
      <c r="D1655">
        <v>230</v>
      </c>
    </row>
    <row r="1656" spans="1:4" x14ac:dyDescent="0.3">
      <c r="A1656" t="s">
        <v>1974</v>
      </c>
      <c r="B1656" t="s">
        <v>1989</v>
      </c>
      <c r="C1656">
        <v>150</v>
      </c>
      <c r="D1656">
        <v>143</v>
      </c>
    </row>
    <row r="1657" spans="1:4" x14ac:dyDescent="0.3">
      <c r="A1657" t="s">
        <v>1974</v>
      </c>
      <c r="B1657" t="s">
        <v>1990</v>
      </c>
      <c r="C1657">
        <v>50</v>
      </c>
      <c r="D1657">
        <v>43</v>
      </c>
    </row>
    <row r="1658" spans="1:4" x14ac:dyDescent="0.3">
      <c r="A1658" t="s">
        <v>1974</v>
      </c>
      <c r="B1658" t="s">
        <v>1986</v>
      </c>
      <c r="C1658">
        <v>500</v>
      </c>
      <c r="D1658">
        <v>490</v>
      </c>
    </row>
    <row r="1659" spans="1:4" x14ac:dyDescent="0.3">
      <c r="A1659" t="s">
        <v>1974</v>
      </c>
      <c r="B1659" t="s">
        <v>1991</v>
      </c>
      <c r="C1659">
        <v>500</v>
      </c>
      <c r="D1659">
        <v>450</v>
      </c>
    </row>
    <row r="1660" spans="1:4" x14ac:dyDescent="0.3">
      <c r="A1660" t="s">
        <v>1974</v>
      </c>
      <c r="B1660" t="s">
        <v>1992</v>
      </c>
      <c r="C1660">
        <v>30</v>
      </c>
      <c r="D1660">
        <v>27</v>
      </c>
    </row>
    <row r="1661" spans="1:4" x14ac:dyDescent="0.3">
      <c r="A1661" t="s">
        <v>1974</v>
      </c>
      <c r="B1661" t="s">
        <v>1989</v>
      </c>
      <c r="C1661">
        <v>150</v>
      </c>
      <c r="D1661">
        <v>135</v>
      </c>
    </row>
    <row r="1662" spans="1:4" x14ac:dyDescent="0.3">
      <c r="A1662" t="s">
        <v>1974</v>
      </c>
      <c r="B1662" t="s">
        <v>1989</v>
      </c>
      <c r="C1662">
        <v>150</v>
      </c>
      <c r="D1662">
        <v>93</v>
      </c>
    </row>
    <row r="1663" spans="1:4" x14ac:dyDescent="0.3">
      <c r="A1663" t="s">
        <v>1974</v>
      </c>
      <c r="B1663" t="s">
        <v>1984</v>
      </c>
      <c r="C1663">
        <v>80</v>
      </c>
      <c r="D1663">
        <v>48</v>
      </c>
    </row>
    <row r="1664" spans="1:4" x14ac:dyDescent="0.3">
      <c r="A1664" t="s">
        <v>1974</v>
      </c>
      <c r="B1664" t="s">
        <v>1949</v>
      </c>
      <c r="C1664">
        <v>700</v>
      </c>
      <c r="D1664">
        <v>462</v>
      </c>
    </row>
    <row r="1665" spans="1:4" x14ac:dyDescent="0.3">
      <c r="A1665" t="s">
        <v>1974</v>
      </c>
      <c r="B1665" t="s">
        <v>1987</v>
      </c>
      <c r="C1665">
        <v>50</v>
      </c>
      <c r="D1665">
        <v>46</v>
      </c>
    </row>
    <row r="1666" spans="1:4" x14ac:dyDescent="0.3">
      <c r="A1666" t="s">
        <v>1974</v>
      </c>
      <c r="B1666" t="s">
        <v>1988</v>
      </c>
      <c r="C1666">
        <v>70</v>
      </c>
      <c r="D1666">
        <v>50</v>
      </c>
    </row>
    <row r="1667" spans="1:4" x14ac:dyDescent="0.3">
      <c r="A1667" t="s">
        <v>1974</v>
      </c>
      <c r="B1667" t="s">
        <v>1949</v>
      </c>
      <c r="C1667">
        <v>700</v>
      </c>
      <c r="D1667">
        <v>511</v>
      </c>
    </row>
    <row r="1668" spans="1:4" x14ac:dyDescent="0.3">
      <c r="A1668" t="s">
        <v>1974</v>
      </c>
      <c r="B1668" t="s">
        <v>1992</v>
      </c>
      <c r="C1668">
        <v>30</v>
      </c>
      <c r="D1668">
        <v>30</v>
      </c>
    </row>
    <row r="1669" spans="1:4" x14ac:dyDescent="0.3">
      <c r="A1669" t="s">
        <v>1974</v>
      </c>
      <c r="B1669" t="s">
        <v>1990</v>
      </c>
      <c r="C1669">
        <v>50</v>
      </c>
      <c r="D1669">
        <v>48</v>
      </c>
    </row>
    <row r="1670" spans="1:4" x14ac:dyDescent="0.3">
      <c r="A1670" t="s">
        <v>1974</v>
      </c>
      <c r="B1670" t="s">
        <v>1948</v>
      </c>
      <c r="C1670">
        <v>800</v>
      </c>
      <c r="D1670">
        <v>480</v>
      </c>
    </row>
    <row r="1671" spans="1:4" x14ac:dyDescent="0.3">
      <c r="A1671" t="s">
        <v>1974</v>
      </c>
      <c r="B1671" t="s">
        <v>1992</v>
      </c>
      <c r="C1671">
        <v>30</v>
      </c>
      <c r="D1671">
        <v>21</v>
      </c>
    </row>
    <row r="1672" spans="1:4" x14ac:dyDescent="0.3">
      <c r="A1672" t="s">
        <v>1974</v>
      </c>
      <c r="B1672" t="s">
        <v>1985</v>
      </c>
      <c r="C1672">
        <v>250</v>
      </c>
      <c r="D1672">
        <v>245</v>
      </c>
    </row>
    <row r="1673" spans="1:4" x14ac:dyDescent="0.3">
      <c r="A1673" t="s">
        <v>1974</v>
      </c>
      <c r="B1673" t="s">
        <v>1949</v>
      </c>
      <c r="C1673">
        <v>700</v>
      </c>
      <c r="D1673">
        <v>602</v>
      </c>
    </row>
    <row r="1674" spans="1:4" x14ac:dyDescent="0.3">
      <c r="A1674" t="s">
        <v>1974</v>
      </c>
      <c r="B1674" t="s">
        <v>1991</v>
      </c>
      <c r="C1674">
        <v>500</v>
      </c>
      <c r="D1674">
        <v>425</v>
      </c>
    </row>
    <row r="1675" spans="1:4" x14ac:dyDescent="0.3">
      <c r="A1675" t="s">
        <v>1974</v>
      </c>
      <c r="B1675" t="s">
        <v>1948</v>
      </c>
      <c r="C1675">
        <v>800</v>
      </c>
      <c r="D1675">
        <v>480</v>
      </c>
    </row>
    <row r="1676" spans="1:4" x14ac:dyDescent="0.3">
      <c r="A1676" t="s">
        <v>1974</v>
      </c>
      <c r="B1676" t="s">
        <v>1991</v>
      </c>
      <c r="C1676">
        <v>500</v>
      </c>
      <c r="D1676">
        <v>385</v>
      </c>
    </row>
    <row r="1677" spans="1:4" x14ac:dyDescent="0.3">
      <c r="A1677" t="s">
        <v>1974</v>
      </c>
      <c r="B1677" t="s">
        <v>1986</v>
      </c>
      <c r="C1677">
        <v>500</v>
      </c>
      <c r="D1677">
        <v>490</v>
      </c>
    </row>
    <row r="1678" spans="1:4" x14ac:dyDescent="0.3">
      <c r="A1678" t="s">
        <v>1974</v>
      </c>
      <c r="B1678" t="s">
        <v>1987</v>
      </c>
      <c r="C1678">
        <v>50</v>
      </c>
      <c r="D1678">
        <v>44</v>
      </c>
    </row>
    <row r="1679" spans="1:4" x14ac:dyDescent="0.3">
      <c r="A1679" t="s">
        <v>1974</v>
      </c>
      <c r="B1679" t="s">
        <v>1992</v>
      </c>
      <c r="C1679">
        <v>30</v>
      </c>
      <c r="D1679">
        <v>29</v>
      </c>
    </row>
    <row r="1680" spans="1:4" x14ac:dyDescent="0.3">
      <c r="A1680" t="s">
        <v>1975</v>
      </c>
      <c r="B1680" t="s">
        <v>1948</v>
      </c>
      <c r="C1680">
        <v>800</v>
      </c>
      <c r="D1680">
        <v>584</v>
      </c>
    </row>
    <row r="1681" spans="1:4" x14ac:dyDescent="0.3">
      <c r="A1681" t="s">
        <v>1975</v>
      </c>
      <c r="B1681" t="s">
        <v>1986</v>
      </c>
      <c r="C1681">
        <v>500</v>
      </c>
      <c r="D1681">
        <v>500</v>
      </c>
    </row>
    <row r="1682" spans="1:4" x14ac:dyDescent="0.3">
      <c r="A1682" t="s">
        <v>1975</v>
      </c>
      <c r="B1682" t="s">
        <v>1991</v>
      </c>
      <c r="C1682">
        <v>500</v>
      </c>
      <c r="D1682">
        <v>440</v>
      </c>
    </row>
    <row r="1683" spans="1:4" x14ac:dyDescent="0.3">
      <c r="A1683" t="s">
        <v>1975</v>
      </c>
      <c r="B1683" t="s">
        <v>1984</v>
      </c>
      <c r="C1683">
        <v>80</v>
      </c>
      <c r="D1683">
        <v>68</v>
      </c>
    </row>
    <row r="1684" spans="1:4" x14ac:dyDescent="0.3">
      <c r="A1684" t="s">
        <v>1975</v>
      </c>
      <c r="B1684" t="s">
        <v>1984</v>
      </c>
      <c r="C1684">
        <v>80</v>
      </c>
      <c r="D1684">
        <v>69</v>
      </c>
    </row>
    <row r="1685" spans="1:4" x14ac:dyDescent="0.3">
      <c r="A1685" t="s">
        <v>1975</v>
      </c>
      <c r="B1685" t="s">
        <v>1950</v>
      </c>
      <c r="C1685">
        <v>1000</v>
      </c>
      <c r="D1685">
        <v>640</v>
      </c>
    </row>
    <row r="1686" spans="1:4" x14ac:dyDescent="0.3">
      <c r="A1686" t="s">
        <v>1975</v>
      </c>
      <c r="B1686" t="s">
        <v>1989</v>
      </c>
      <c r="C1686">
        <v>150</v>
      </c>
      <c r="D1686">
        <v>147</v>
      </c>
    </row>
    <row r="1687" spans="1:4" x14ac:dyDescent="0.3">
      <c r="A1687" t="s">
        <v>1975</v>
      </c>
      <c r="B1687" t="s">
        <v>1992</v>
      </c>
      <c r="C1687">
        <v>30</v>
      </c>
      <c r="D1687">
        <v>28</v>
      </c>
    </row>
    <row r="1688" spans="1:4" x14ac:dyDescent="0.3">
      <c r="A1688" t="s">
        <v>1975</v>
      </c>
      <c r="B1688" t="s">
        <v>1992</v>
      </c>
      <c r="C1688">
        <v>30</v>
      </c>
      <c r="D1688">
        <v>26</v>
      </c>
    </row>
    <row r="1689" spans="1:4" x14ac:dyDescent="0.3">
      <c r="A1689" t="s">
        <v>1975</v>
      </c>
      <c r="B1689" t="s">
        <v>1991</v>
      </c>
      <c r="C1689">
        <v>500</v>
      </c>
      <c r="D1689">
        <v>455</v>
      </c>
    </row>
    <row r="1690" spans="1:4" x14ac:dyDescent="0.3">
      <c r="A1690" t="s">
        <v>1975</v>
      </c>
      <c r="B1690" t="s">
        <v>1988</v>
      </c>
      <c r="C1690">
        <v>70</v>
      </c>
      <c r="D1690">
        <v>68</v>
      </c>
    </row>
    <row r="1691" spans="1:4" x14ac:dyDescent="0.3">
      <c r="A1691" t="s">
        <v>1975</v>
      </c>
      <c r="B1691" t="s">
        <v>1985</v>
      </c>
      <c r="C1691">
        <v>250</v>
      </c>
      <c r="D1691">
        <v>243</v>
      </c>
    </row>
    <row r="1692" spans="1:4" x14ac:dyDescent="0.3">
      <c r="A1692" t="s">
        <v>1975</v>
      </c>
      <c r="B1692" t="s">
        <v>1986</v>
      </c>
      <c r="C1692">
        <v>500</v>
      </c>
      <c r="D1692">
        <v>490</v>
      </c>
    </row>
    <row r="1693" spans="1:4" x14ac:dyDescent="0.3">
      <c r="A1693" t="s">
        <v>1975</v>
      </c>
      <c r="B1693" t="s">
        <v>1989</v>
      </c>
      <c r="C1693">
        <v>150</v>
      </c>
      <c r="D1693">
        <v>141</v>
      </c>
    </row>
    <row r="1694" spans="1:4" x14ac:dyDescent="0.3">
      <c r="A1694" t="s">
        <v>1975</v>
      </c>
      <c r="B1694" t="s">
        <v>1985</v>
      </c>
      <c r="C1694">
        <v>250</v>
      </c>
      <c r="D1694">
        <v>248</v>
      </c>
    </row>
    <row r="1695" spans="1:4" x14ac:dyDescent="0.3">
      <c r="A1695" t="s">
        <v>1975</v>
      </c>
      <c r="B1695" t="s">
        <v>1991</v>
      </c>
      <c r="C1695">
        <v>500</v>
      </c>
      <c r="D1695">
        <v>480</v>
      </c>
    </row>
    <row r="1696" spans="1:4" x14ac:dyDescent="0.3">
      <c r="A1696" t="s">
        <v>1975</v>
      </c>
      <c r="B1696" t="s">
        <v>1992</v>
      </c>
      <c r="C1696">
        <v>30</v>
      </c>
      <c r="D1696">
        <v>28</v>
      </c>
    </row>
    <row r="1697" spans="1:4" x14ac:dyDescent="0.3">
      <c r="A1697" t="s">
        <v>1975</v>
      </c>
      <c r="B1697" t="s">
        <v>1990</v>
      </c>
      <c r="C1697">
        <v>50</v>
      </c>
      <c r="D1697">
        <v>48</v>
      </c>
    </row>
    <row r="1698" spans="1:4" x14ac:dyDescent="0.3">
      <c r="A1698" t="s">
        <v>1975</v>
      </c>
      <c r="B1698" t="s">
        <v>1949</v>
      </c>
      <c r="C1698">
        <v>700</v>
      </c>
      <c r="D1698">
        <v>665</v>
      </c>
    </row>
    <row r="1699" spans="1:4" x14ac:dyDescent="0.3">
      <c r="A1699" t="s">
        <v>1975</v>
      </c>
      <c r="B1699" t="s">
        <v>1986</v>
      </c>
      <c r="C1699">
        <v>500</v>
      </c>
      <c r="D1699">
        <v>500</v>
      </c>
    </row>
    <row r="1700" spans="1:4" x14ac:dyDescent="0.3">
      <c r="A1700" t="s">
        <v>1975</v>
      </c>
      <c r="B1700" t="s">
        <v>1985</v>
      </c>
      <c r="C1700">
        <v>250</v>
      </c>
      <c r="D1700">
        <v>228</v>
      </c>
    </row>
    <row r="1701" spans="1:4" x14ac:dyDescent="0.3">
      <c r="A1701" t="s">
        <v>1975</v>
      </c>
      <c r="B1701" t="s">
        <v>1992</v>
      </c>
      <c r="C1701">
        <v>30</v>
      </c>
      <c r="D1701">
        <v>27</v>
      </c>
    </row>
    <row r="1702" spans="1:4" x14ac:dyDescent="0.3">
      <c r="A1702" t="s">
        <v>1975</v>
      </c>
      <c r="B1702" t="s">
        <v>1992</v>
      </c>
      <c r="C1702">
        <v>30</v>
      </c>
      <c r="D1702">
        <v>26</v>
      </c>
    </row>
    <row r="1703" spans="1:4" x14ac:dyDescent="0.3">
      <c r="A1703" t="s">
        <v>1975</v>
      </c>
      <c r="B1703" t="s">
        <v>1987</v>
      </c>
      <c r="C1703">
        <v>50</v>
      </c>
      <c r="D1703">
        <v>48</v>
      </c>
    </row>
    <row r="1704" spans="1:4" x14ac:dyDescent="0.3">
      <c r="A1704" t="s">
        <v>1975</v>
      </c>
      <c r="B1704" t="s">
        <v>1988</v>
      </c>
      <c r="C1704">
        <v>70</v>
      </c>
      <c r="D1704">
        <v>70</v>
      </c>
    </row>
    <row r="1705" spans="1:4" x14ac:dyDescent="0.3">
      <c r="A1705" t="s">
        <v>1975</v>
      </c>
      <c r="B1705" t="s">
        <v>1949</v>
      </c>
      <c r="C1705">
        <v>700</v>
      </c>
      <c r="D1705">
        <v>630</v>
      </c>
    </row>
    <row r="1706" spans="1:4" x14ac:dyDescent="0.3">
      <c r="A1706" t="s">
        <v>1975</v>
      </c>
      <c r="B1706" t="s">
        <v>1989</v>
      </c>
      <c r="C1706">
        <v>150</v>
      </c>
      <c r="D1706">
        <v>138</v>
      </c>
    </row>
    <row r="1707" spans="1:4" x14ac:dyDescent="0.3">
      <c r="A1707" t="s">
        <v>1975</v>
      </c>
      <c r="B1707" t="s">
        <v>1949</v>
      </c>
      <c r="C1707">
        <v>700</v>
      </c>
      <c r="D1707">
        <v>630</v>
      </c>
    </row>
    <row r="1708" spans="1:4" x14ac:dyDescent="0.3">
      <c r="A1708" t="s">
        <v>1975</v>
      </c>
      <c r="B1708" t="s">
        <v>1990</v>
      </c>
      <c r="C1708">
        <v>50</v>
      </c>
      <c r="D1708">
        <v>44</v>
      </c>
    </row>
    <row r="1709" spans="1:4" x14ac:dyDescent="0.3">
      <c r="A1709" t="s">
        <v>1975</v>
      </c>
      <c r="B1709" t="s">
        <v>1992</v>
      </c>
      <c r="C1709">
        <v>30</v>
      </c>
      <c r="D1709">
        <v>29</v>
      </c>
    </row>
    <row r="1710" spans="1:4" x14ac:dyDescent="0.3">
      <c r="A1710" t="s">
        <v>1975</v>
      </c>
      <c r="B1710" t="s">
        <v>1989</v>
      </c>
      <c r="C1710">
        <v>150</v>
      </c>
      <c r="D1710">
        <v>110</v>
      </c>
    </row>
    <row r="1711" spans="1:4" x14ac:dyDescent="0.3">
      <c r="A1711" t="s">
        <v>1975</v>
      </c>
      <c r="B1711" t="s">
        <v>1988</v>
      </c>
      <c r="C1711">
        <v>70</v>
      </c>
      <c r="D1711">
        <v>52</v>
      </c>
    </row>
    <row r="1712" spans="1:4" x14ac:dyDescent="0.3">
      <c r="A1712" t="s">
        <v>1975</v>
      </c>
      <c r="B1712" t="s">
        <v>1990</v>
      </c>
      <c r="C1712">
        <v>50</v>
      </c>
      <c r="D1712">
        <v>37</v>
      </c>
    </row>
    <row r="1713" spans="1:4" x14ac:dyDescent="0.3">
      <c r="A1713" t="s">
        <v>1975</v>
      </c>
      <c r="B1713" t="s">
        <v>1984</v>
      </c>
      <c r="C1713">
        <v>80</v>
      </c>
      <c r="D1713">
        <v>69</v>
      </c>
    </row>
    <row r="1714" spans="1:4" x14ac:dyDescent="0.3">
      <c r="A1714" t="s">
        <v>1975</v>
      </c>
      <c r="B1714" t="s">
        <v>1992</v>
      </c>
      <c r="C1714">
        <v>30</v>
      </c>
      <c r="D1714">
        <v>22</v>
      </c>
    </row>
    <row r="1715" spans="1:4" x14ac:dyDescent="0.3">
      <c r="A1715" t="s">
        <v>1975</v>
      </c>
      <c r="B1715" t="s">
        <v>1989</v>
      </c>
      <c r="C1715">
        <v>150</v>
      </c>
      <c r="D1715">
        <v>149</v>
      </c>
    </row>
    <row r="1716" spans="1:4" x14ac:dyDescent="0.3">
      <c r="A1716" t="s">
        <v>1975</v>
      </c>
      <c r="B1716" t="s">
        <v>1984</v>
      </c>
      <c r="C1716">
        <v>80</v>
      </c>
      <c r="D1716">
        <v>62</v>
      </c>
    </row>
    <row r="1717" spans="1:4" x14ac:dyDescent="0.3">
      <c r="A1717" t="s">
        <v>1975</v>
      </c>
      <c r="B1717" t="s">
        <v>1991</v>
      </c>
      <c r="C1717">
        <v>500</v>
      </c>
      <c r="D1717">
        <v>485</v>
      </c>
    </row>
    <row r="1718" spans="1:4" x14ac:dyDescent="0.3">
      <c r="A1718" t="s">
        <v>1975</v>
      </c>
      <c r="B1718" t="s">
        <v>1991</v>
      </c>
      <c r="C1718">
        <v>500</v>
      </c>
      <c r="D1718">
        <v>420</v>
      </c>
    </row>
    <row r="1719" spans="1:4" x14ac:dyDescent="0.3">
      <c r="A1719" t="s">
        <v>1975</v>
      </c>
      <c r="B1719" t="s">
        <v>1991</v>
      </c>
      <c r="C1719">
        <v>500</v>
      </c>
      <c r="D1719">
        <v>405</v>
      </c>
    </row>
    <row r="1720" spans="1:4" x14ac:dyDescent="0.3">
      <c r="A1720" t="s">
        <v>1975</v>
      </c>
      <c r="B1720" t="s">
        <v>1989</v>
      </c>
      <c r="C1720">
        <v>150</v>
      </c>
      <c r="D1720">
        <v>128</v>
      </c>
    </row>
    <row r="1721" spans="1:4" x14ac:dyDescent="0.3">
      <c r="A1721" t="s">
        <v>1975</v>
      </c>
      <c r="B1721" t="s">
        <v>1986</v>
      </c>
      <c r="C1721">
        <v>500</v>
      </c>
      <c r="D1721">
        <v>490</v>
      </c>
    </row>
    <row r="1722" spans="1:4" x14ac:dyDescent="0.3">
      <c r="A1722" t="s">
        <v>1975</v>
      </c>
      <c r="B1722" t="s">
        <v>1986</v>
      </c>
      <c r="C1722">
        <v>500</v>
      </c>
      <c r="D1722">
        <v>490</v>
      </c>
    </row>
    <row r="1723" spans="1:4" x14ac:dyDescent="0.3">
      <c r="A1723" t="s">
        <v>1975</v>
      </c>
      <c r="B1723" t="s">
        <v>1985</v>
      </c>
      <c r="C1723">
        <v>250</v>
      </c>
      <c r="D1723">
        <v>230</v>
      </c>
    </row>
    <row r="1724" spans="1:4" x14ac:dyDescent="0.3">
      <c r="A1724" t="s">
        <v>1975</v>
      </c>
      <c r="B1724" t="s">
        <v>1988</v>
      </c>
      <c r="C1724">
        <v>70</v>
      </c>
      <c r="D1724">
        <v>67</v>
      </c>
    </row>
    <row r="1725" spans="1:4" x14ac:dyDescent="0.3">
      <c r="A1725" t="s">
        <v>1975</v>
      </c>
      <c r="B1725" t="s">
        <v>1948</v>
      </c>
      <c r="C1725">
        <v>800</v>
      </c>
      <c r="D1725">
        <v>664</v>
      </c>
    </row>
    <row r="1726" spans="1:4" x14ac:dyDescent="0.3">
      <c r="A1726" t="s">
        <v>1975</v>
      </c>
      <c r="B1726" t="s">
        <v>1988</v>
      </c>
      <c r="C1726">
        <v>70</v>
      </c>
      <c r="D1726">
        <v>67</v>
      </c>
    </row>
    <row r="1727" spans="1:4" x14ac:dyDescent="0.3">
      <c r="A1727" t="s">
        <v>1975</v>
      </c>
      <c r="B1727" t="s">
        <v>1989</v>
      </c>
      <c r="C1727">
        <v>150</v>
      </c>
      <c r="D1727">
        <v>120</v>
      </c>
    </row>
    <row r="1728" spans="1:4" x14ac:dyDescent="0.3">
      <c r="A1728" t="s">
        <v>1976</v>
      </c>
      <c r="B1728" t="s">
        <v>1949</v>
      </c>
      <c r="C1728">
        <v>700</v>
      </c>
      <c r="D1728">
        <v>672</v>
      </c>
    </row>
    <row r="1729" spans="1:4" x14ac:dyDescent="0.3">
      <c r="A1729" t="s">
        <v>1976</v>
      </c>
      <c r="B1729" t="s">
        <v>1990</v>
      </c>
      <c r="C1729">
        <v>50</v>
      </c>
      <c r="D1729">
        <v>49</v>
      </c>
    </row>
    <row r="1730" spans="1:4" x14ac:dyDescent="0.3">
      <c r="A1730" t="s">
        <v>1976</v>
      </c>
      <c r="B1730" t="s">
        <v>1988</v>
      </c>
      <c r="C1730">
        <v>70</v>
      </c>
      <c r="D1730">
        <v>69</v>
      </c>
    </row>
    <row r="1731" spans="1:4" x14ac:dyDescent="0.3">
      <c r="A1731" t="s">
        <v>1976</v>
      </c>
      <c r="B1731" t="s">
        <v>1948</v>
      </c>
      <c r="C1731">
        <v>800</v>
      </c>
      <c r="D1731">
        <v>552</v>
      </c>
    </row>
    <row r="1732" spans="1:4" x14ac:dyDescent="0.3">
      <c r="A1732" t="s">
        <v>1976</v>
      </c>
      <c r="B1732" t="s">
        <v>1984</v>
      </c>
      <c r="C1732">
        <v>80</v>
      </c>
      <c r="D1732">
        <v>80</v>
      </c>
    </row>
    <row r="1733" spans="1:4" x14ac:dyDescent="0.3">
      <c r="A1733" t="s">
        <v>1976</v>
      </c>
      <c r="B1733" t="s">
        <v>1991</v>
      </c>
      <c r="C1733">
        <v>500</v>
      </c>
      <c r="D1733">
        <v>480</v>
      </c>
    </row>
    <row r="1734" spans="1:4" x14ac:dyDescent="0.3">
      <c r="A1734" t="s">
        <v>1976</v>
      </c>
      <c r="B1734" t="s">
        <v>1989</v>
      </c>
      <c r="C1734">
        <v>150</v>
      </c>
      <c r="D1734">
        <v>147</v>
      </c>
    </row>
    <row r="1735" spans="1:4" x14ac:dyDescent="0.3">
      <c r="A1735" t="s">
        <v>1976</v>
      </c>
      <c r="B1735" t="s">
        <v>1984</v>
      </c>
      <c r="C1735">
        <v>80</v>
      </c>
      <c r="D1735">
        <v>76</v>
      </c>
    </row>
    <row r="1736" spans="1:4" x14ac:dyDescent="0.3">
      <c r="A1736" t="s">
        <v>1976</v>
      </c>
      <c r="B1736" t="s">
        <v>1950</v>
      </c>
      <c r="C1736">
        <v>1000</v>
      </c>
      <c r="D1736">
        <v>530</v>
      </c>
    </row>
    <row r="1737" spans="1:4" x14ac:dyDescent="0.3">
      <c r="A1737" t="s">
        <v>1976</v>
      </c>
      <c r="B1737" t="s">
        <v>1986</v>
      </c>
      <c r="C1737">
        <v>500</v>
      </c>
      <c r="D1737">
        <v>495</v>
      </c>
    </row>
    <row r="1738" spans="1:4" x14ac:dyDescent="0.3">
      <c r="A1738" t="s">
        <v>1976</v>
      </c>
      <c r="B1738" t="s">
        <v>1985</v>
      </c>
      <c r="C1738">
        <v>250</v>
      </c>
      <c r="D1738">
        <v>250</v>
      </c>
    </row>
    <row r="1739" spans="1:4" x14ac:dyDescent="0.3">
      <c r="A1739" t="s">
        <v>1976</v>
      </c>
      <c r="B1739" t="s">
        <v>1984</v>
      </c>
      <c r="C1739">
        <v>80</v>
      </c>
      <c r="D1739">
        <v>77</v>
      </c>
    </row>
    <row r="1740" spans="1:4" x14ac:dyDescent="0.3">
      <c r="A1740" t="s">
        <v>1976</v>
      </c>
      <c r="B1740" t="s">
        <v>1948</v>
      </c>
      <c r="C1740">
        <v>800</v>
      </c>
      <c r="D1740">
        <v>616</v>
      </c>
    </row>
    <row r="1741" spans="1:4" x14ac:dyDescent="0.3">
      <c r="A1741" t="s">
        <v>1976</v>
      </c>
      <c r="B1741" t="s">
        <v>1992</v>
      </c>
      <c r="C1741">
        <v>30</v>
      </c>
      <c r="D1741">
        <v>30</v>
      </c>
    </row>
    <row r="1742" spans="1:4" x14ac:dyDescent="0.3">
      <c r="A1742" t="s">
        <v>1976</v>
      </c>
      <c r="B1742" t="s">
        <v>1949</v>
      </c>
      <c r="C1742">
        <v>700</v>
      </c>
      <c r="D1742">
        <v>665</v>
      </c>
    </row>
    <row r="1743" spans="1:4" x14ac:dyDescent="0.3">
      <c r="A1743" t="s">
        <v>1976</v>
      </c>
      <c r="B1743" t="s">
        <v>1991</v>
      </c>
      <c r="C1743">
        <v>500</v>
      </c>
      <c r="D1743">
        <v>495</v>
      </c>
    </row>
    <row r="1744" spans="1:4" x14ac:dyDescent="0.3">
      <c r="A1744" t="s">
        <v>1976</v>
      </c>
      <c r="B1744" t="s">
        <v>1989</v>
      </c>
      <c r="C1744">
        <v>150</v>
      </c>
      <c r="D1744">
        <v>146</v>
      </c>
    </row>
    <row r="1745" spans="1:4" x14ac:dyDescent="0.3">
      <c r="A1745" t="s">
        <v>1976</v>
      </c>
      <c r="B1745" t="s">
        <v>1992</v>
      </c>
      <c r="C1745">
        <v>30</v>
      </c>
      <c r="D1745">
        <v>29</v>
      </c>
    </row>
    <row r="1746" spans="1:4" x14ac:dyDescent="0.3">
      <c r="A1746" t="s">
        <v>1976</v>
      </c>
      <c r="B1746" t="s">
        <v>1985</v>
      </c>
      <c r="C1746">
        <v>250</v>
      </c>
      <c r="D1746">
        <v>240</v>
      </c>
    </row>
    <row r="1747" spans="1:4" x14ac:dyDescent="0.3">
      <c r="A1747" t="s">
        <v>1976</v>
      </c>
      <c r="B1747" t="s">
        <v>1984</v>
      </c>
      <c r="C1747">
        <v>80</v>
      </c>
      <c r="D1747">
        <v>78</v>
      </c>
    </row>
    <row r="1748" spans="1:4" x14ac:dyDescent="0.3">
      <c r="A1748" t="s">
        <v>1976</v>
      </c>
      <c r="B1748" t="s">
        <v>1990</v>
      </c>
      <c r="C1748">
        <v>50</v>
      </c>
      <c r="D1748">
        <v>48</v>
      </c>
    </row>
    <row r="1749" spans="1:4" x14ac:dyDescent="0.3">
      <c r="A1749" t="s">
        <v>1976</v>
      </c>
      <c r="B1749" t="s">
        <v>1992</v>
      </c>
      <c r="C1749">
        <v>30</v>
      </c>
      <c r="D1749">
        <v>29</v>
      </c>
    </row>
    <row r="1750" spans="1:4" x14ac:dyDescent="0.3">
      <c r="A1750" t="s">
        <v>1976</v>
      </c>
      <c r="B1750" t="s">
        <v>1987</v>
      </c>
      <c r="C1750">
        <v>50</v>
      </c>
      <c r="D1750">
        <v>50</v>
      </c>
    </row>
    <row r="1751" spans="1:4" x14ac:dyDescent="0.3">
      <c r="A1751" t="s">
        <v>1976</v>
      </c>
      <c r="B1751" t="s">
        <v>1989</v>
      </c>
      <c r="C1751">
        <v>150</v>
      </c>
      <c r="D1751">
        <v>144</v>
      </c>
    </row>
    <row r="1752" spans="1:4" x14ac:dyDescent="0.3">
      <c r="A1752" t="s">
        <v>1976</v>
      </c>
      <c r="B1752" t="s">
        <v>1992</v>
      </c>
      <c r="C1752">
        <v>30</v>
      </c>
      <c r="D1752">
        <v>30</v>
      </c>
    </row>
    <row r="1753" spans="1:4" x14ac:dyDescent="0.3">
      <c r="A1753" t="s">
        <v>1976</v>
      </c>
      <c r="B1753" t="s">
        <v>1992</v>
      </c>
      <c r="C1753">
        <v>30</v>
      </c>
      <c r="D1753">
        <v>29</v>
      </c>
    </row>
    <row r="1754" spans="1:4" x14ac:dyDescent="0.3">
      <c r="A1754" t="s">
        <v>1976</v>
      </c>
      <c r="B1754" t="s">
        <v>1988</v>
      </c>
      <c r="C1754">
        <v>70</v>
      </c>
      <c r="D1754">
        <v>68</v>
      </c>
    </row>
    <row r="1755" spans="1:4" x14ac:dyDescent="0.3">
      <c r="A1755" t="s">
        <v>1976</v>
      </c>
      <c r="B1755" t="s">
        <v>1992</v>
      </c>
      <c r="C1755">
        <v>30</v>
      </c>
      <c r="D1755">
        <v>29</v>
      </c>
    </row>
    <row r="1756" spans="1:4" x14ac:dyDescent="0.3">
      <c r="A1756" t="s">
        <v>1976</v>
      </c>
      <c r="B1756" t="s">
        <v>1949</v>
      </c>
      <c r="C1756">
        <v>700</v>
      </c>
      <c r="D1756">
        <v>665</v>
      </c>
    </row>
    <row r="1757" spans="1:4" x14ac:dyDescent="0.3">
      <c r="A1757" t="s">
        <v>1976</v>
      </c>
      <c r="B1757" t="s">
        <v>1990</v>
      </c>
      <c r="C1757">
        <v>50</v>
      </c>
      <c r="D1757">
        <v>49</v>
      </c>
    </row>
    <row r="1758" spans="1:4" x14ac:dyDescent="0.3">
      <c r="A1758" t="s">
        <v>1976</v>
      </c>
      <c r="B1758" t="s">
        <v>1987</v>
      </c>
      <c r="C1758">
        <v>50</v>
      </c>
      <c r="D1758">
        <v>50</v>
      </c>
    </row>
    <row r="1759" spans="1:4" x14ac:dyDescent="0.3">
      <c r="A1759" t="s">
        <v>1976</v>
      </c>
      <c r="B1759" t="s">
        <v>1985</v>
      </c>
      <c r="C1759">
        <v>250</v>
      </c>
      <c r="D1759">
        <v>240</v>
      </c>
    </row>
    <row r="1760" spans="1:4" x14ac:dyDescent="0.3">
      <c r="A1760" t="s">
        <v>1976</v>
      </c>
      <c r="B1760" t="s">
        <v>1984</v>
      </c>
      <c r="C1760">
        <v>80</v>
      </c>
      <c r="D1760">
        <v>77</v>
      </c>
    </row>
    <row r="1761" spans="1:4" x14ac:dyDescent="0.3">
      <c r="A1761" t="s">
        <v>1976</v>
      </c>
      <c r="B1761" t="s">
        <v>1992</v>
      </c>
      <c r="C1761">
        <v>30</v>
      </c>
      <c r="D1761">
        <v>29</v>
      </c>
    </row>
    <row r="1762" spans="1:4" x14ac:dyDescent="0.3">
      <c r="A1762" t="s">
        <v>1976</v>
      </c>
      <c r="B1762" t="s">
        <v>1991</v>
      </c>
      <c r="C1762">
        <v>500</v>
      </c>
      <c r="D1762">
        <v>495</v>
      </c>
    </row>
    <row r="1763" spans="1:4" x14ac:dyDescent="0.3">
      <c r="A1763" t="s">
        <v>1976</v>
      </c>
      <c r="B1763" t="s">
        <v>1950</v>
      </c>
      <c r="C1763">
        <v>1000</v>
      </c>
      <c r="D1763">
        <v>670</v>
      </c>
    </row>
    <row r="1764" spans="1:4" x14ac:dyDescent="0.3">
      <c r="A1764" t="s">
        <v>1976</v>
      </c>
      <c r="B1764" t="s">
        <v>1990</v>
      </c>
      <c r="C1764">
        <v>50</v>
      </c>
      <c r="D1764">
        <v>50</v>
      </c>
    </row>
    <row r="1765" spans="1:4" x14ac:dyDescent="0.3">
      <c r="A1765" t="s">
        <v>1976</v>
      </c>
      <c r="B1765" t="s">
        <v>1991</v>
      </c>
      <c r="C1765">
        <v>500</v>
      </c>
      <c r="D1765">
        <v>495</v>
      </c>
    </row>
    <row r="1766" spans="1:4" x14ac:dyDescent="0.3">
      <c r="A1766" t="s">
        <v>1976</v>
      </c>
      <c r="B1766" t="s">
        <v>1948</v>
      </c>
      <c r="C1766">
        <v>800</v>
      </c>
      <c r="D1766">
        <v>560</v>
      </c>
    </row>
    <row r="1767" spans="1:4" x14ac:dyDescent="0.3">
      <c r="A1767" t="s">
        <v>1976</v>
      </c>
      <c r="B1767" t="s">
        <v>1950</v>
      </c>
      <c r="C1767">
        <v>1000</v>
      </c>
      <c r="D1767">
        <v>580</v>
      </c>
    </row>
    <row r="1768" spans="1:4" x14ac:dyDescent="0.3">
      <c r="A1768" t="s">
        <v>1976</v>
      </c>
      <c r="B1768" t="s">
        <v>1988</v>
      </c>
      <c r="C1768">
        <v>70</v>
      </c>
      <c r="D1768">
        <v>70</v>
      </c>
    </row>
    <row r="1769" spans="1:4" x14ac:dyDescent="0.3">
      <c r="A1769" t="s">
        <v>1976</v>
      </c>
      <c r="B1769" t="s">
        <v>1988</v>
      </c>
      <c r="C1769">
        <v>70</v>
      </c>
      <c r="D1769">
        <v>67</v>
      </c>
    </row>
    <row r="1770" spans="1:4" x14ac:dyDescent="0.3">
      <c r="A1770" t="s">
        <v>1976</v>
      </c>
      <c r="B1770" t="s">
        <v>1992</v>
      </c>
      <c r="C1770">
        <v>30</v>
      </c>
      <c r="D1770">
        <v>29</v>
      </c>
    </row>
    <row r="1771" spans="1:4" x14ac:dyDescent="0.3">
      <c r="A1771" t="s">
        <v>1977</v>
      </c>
      <c r="B1771" t="s">
        <v>1990</v>
      </c>
      <c r="C1771">
        <v>50</v>
      </c>
      <c r="D1771">
        <v>48</v>
      </c>
    </row>
    <row r="1772" spans="1:4" x14ac:dyDescent="0.3">
      <c r="A1772" t="s">
        <v>1977</v>
      </c>
      <c r="B1772" t="s">
        <v>1984</v>
      </c>
      <c r="C1772">
        <v>80</v>
      </c>
      <c r="D1772">
        <v>70</v>
      </c>
    </row>
    <row r="1773" spans="1:4" x14ac:dyDescent="0.3">
      <c r="A1773" t="s">
        <v>1977</v>
      </c>
      <c r="B1773" t="s">
        <v>1992</v>
      </c>
      <c r="C1773">
        <v>30</v>
      </c>
      <c r="D1773">
        <v>27</v>
      </c>
    </row>
    <row r="1774" spans="1:4" x14ac:dyDescent="0.3">
      <c r="A1774" t="s">
        <v>1977</v>
      </c>
      <c r="B1774" t="s">
        <v>1987</v>
      </c>
      <c r="C1774">
        <v>50</v>
      </c>
      <c r="D1774">
        <v>50</v>
      </c>
    </row>
    <row r="1775" spans="1:4" x14ac:dyDescent="0.3">
      <c r="A1775" t="s">
        <v>1977</v>
      </c>
      <c r="B1775" t="s">
        <v>1992</v>
      </c>
      <c r="C1775">
        <v>30</v>
      </c>
      <c r="D1775">
        <v>28</v>
      </c>
    </row>
    <row r="1776" spans="1:4" x14ac:dyDescent="0.3">
      <c r="A1776" t="s">
        <v>1977</v>
      </c>
      <c r="B1776" t="s">
        <v>1985</v>
      </c>
      <c r="C1776">
        <v>250</v>
      </c>
      <c r="D1776">
        <v>220</v>
      </c>
    </row>
    <row r="1777" spans="1:4" x14ac:dyDescent="0.3">
      <c r="A1777" t="s">
        <v>1977</v>
      </c>
      <c r="B1777" t="s">
        <v>1992</v>
      </c>
      <c r="C1777">
        <v>30</v>
      </c>
      <c r="D1777">
        <v>29</v>
      </c>
    </row>
    <row r="1778" spans="1:4" x14ac:dyDescent="0.3">
      <c r="A1778" t="s">
        <v>1977</v>
      </c>
      <c r="B1778" t="s">
        <v>1949</v>
      </c>
      <c r="C1778">
        <v>700</v>
      </c>
      <c r="D1778">
        <v>623</v>
      </c>
    </row>
    <row r="1779" spans="1:4" x14ac:dyDescent="0.3">
      <c r="A1779" t="s">
        <v>1977</v>
      </c>
      <c r="B1779" t="s">
        <v>1949</v>
      </c>
      <c r="C1779">
        <v>700</v>
      </c>
      <c r="D1779">
        <v>616</v>
      </c>
    </row>
    <row r="1780" spans="1:4" x14ac:dyDescent="0.3">
      <c r="A1780" t="s">
        <v>1977</v>
      </c>
      <c r="B1780" t="s">
        <v>1992</v>
      </c>
      <c r="C1780">
        <v>30</v>
      </c>
      <c r="D1780">
        <v>26</v>
      </c>
    </row>
    <row r="1781" spans="1:4" x14ac:dyDescent="0.3">
      <c r="A1781" t="s">
        <v>1977</v>
      </c>
      <c r="B1781" t="s">
        <v>1987</v>
      </c>
      <c r="C1781">
        <v>50</v>
      </c>
      <c r="D1781">
        <v>47</v>
      </c>
    </row>
    <row r="1782" spans="1:4" x14ac:dyDescent="0.3">
      <c r="A1782" t="s">
        <v>1977</v>
      </c>
      <c r="B1782" t="s">
        <v>1992</v>
      </c>
      <c r="C1782">
        <v>30</v>
      </c>
      <c r="D1782">
        <v>29</v>
      </c>
    </row>
    <row r="1783" spans="1:4" x14ac:dyDescent="0.3">
      <c r="A1783" t="s">
        <v>1977</v>
      </c>
      <c r="B1783" t="s">
        <v>1990</v>
      </c>
      <c r="C1783">
        <v>50</v>
      </c>
      <c r="D1783">
        <v>45</v>
      </c>
    </row>
    <row r="1784" spans="1:4" x14ac:dyDescent="0.3">
      <c r="A1784" t="s">
        <v>1977</v>
      </c>
      <c r="B1784" t="s">
        <v>1986</v>
      </c>
      <c r="C1784">
        <v>500</v>
      </c>
      <c r="D1784">
        <v>495</v>
      </c>
    </row>
    <row r="1785" spans="1:4" x14ac:dyDescent="0.3">
      <c r="A1785" t="s">
        <v>1977</v>
      </c>
      <c r="B1785" t="s">
        <v>1990</v>
      </c>
      <c r="C1785">
        <v>50</v>
      </c>
      <c r="D1785">
        <v>49</v>
      </c>
    </row>
    <row r="1786" spans="1:4" x14ac:dyDescent="0.3">
      <c r="A1786" t="s">
        <v>1977</v>
      </c>
      <c r="B1786" t="s">
        <v>1950</v>
      </c>
      <c r="C1786">
        <v>1000</v>
      </c>
      <c r="D1786">
        <v>630</v>
      </c>
    </row>
    <row r="1787" spans="1:4" x14ac:dyDescent="0.3">
      <c r="A1787" t="s">
        <v>1977</v>
      </c>
      <c r="B1787" t="s">
        <v>1991</v>
      </c>
      <c r="C1787">
        <v>500</v>
      </c>
      <c r="D1787">
        <v>455</v>
      </c>
    </row>
    <row r="1788" spans="1:4" x14ac:dyDescent="0.3">
      <c r="A1788" t="s">
        <v>1977</v>
      </c>
      <c r="B1788" t="s">
        <v>1992</v>
      </c>
      <c r="C1788">
        <v>30</v>
      </c>
      <c r="D1788">
        <v>29</v>
      </c>
    </row>
    <row r="1789" spans="1:4" x14ac:dyDescent="0.3">
      <c r="A1789" t="s">
        <v>1977</v>
      </c>
      <c r="B1789" t="s">
        <v>1991</v>
      </c>
      <c r="C1789">
        <v>500</v>
      </c>
      <c r="D1789">
        <v>480</v>
      </c>
    </row>
    <row r="1790" spans="1:4" x14ac:dyDescent="0.3">
      <c r="A1790" t="s">
        <v>1977</v>
      </c>
      <c r="B1790" t="s">
        <v>1989</v>
      </c>
      <c r="C1790">
        <v>150</v>
      </c>
      <c r="D1790">
        <v>138</v>
      </c>
    </row>
    <row r="1791" spans="1:4" x14ac:dyDescent="0.3">
      <c r="A1791" t="s">
        <v>1977</v>
      </c>
      <c r="B1791" t="s">
        <v>1950</v>
      </c>
      <c r="C1791">
        <v>1000</v>
      </c>
      <c r="D1791">
        <v>650</v>
      </c>
    </row>
    <row r="1792" spans="1:4" x14ac:dyDescent="0.3">
      <c r="A1792" t="s">
        <v>1977</v>
      </c>
      <c r="B1792" t="s">
        <v>1984</v>
      </c>
      <c r="C1792">
        <v>80</v>
      </c>
      <c r="D1792">
        <v>68</v>
      </c>
    </row>
    <row r="1793" spans="1:4" x14ac:dyDescent="0.3">
      <c r="A1793" t="s">
        <v>1977</v>
      </c>
      <c r="B1793" t="s">
        <v>1949</v>
      </c>
      <c r="C1793">
        <v>700</v>
      </c>
      <c r="D1793">
        <v>602</v>
      </c>
    </row>
    <row r="1794" spans="1:4" x14ac:dyDescent="0.3">
      <c r="A1794" t="s">
        <v>1977</v>
      </c>
      <c r="B1794" t="s">
        <v>1985</v>
      </c>
      <c r="C1794">
        <v>250</v>
      </c>
      <c r="D1794">
        <v>250</v>
      </c>
    </row>
    <row r="1795" spans="1:4" x14ac:dyDescent="0.3">
      <c r="A1795" t="s">
        <v>1977</v>
      </c>
      <c r="B1795" t="s">
        <v>1949</v>
      </c>
      <c r="C1795">
        <v>700</v>
      </c>
      <c r="D1795">
        <v>665</v>
      </c>
    </row>
    <row r="1796" spans="1:4" x14ac:dyDescent="0.3">
      <c r="A1796" t="s">
        <v>1977</v>
      </c>
      <c r="B1796" t="s">
        <v>1986</v>
      </c>
      <c r="C1796">
        <v>500</v>
      </c>
      <c r="D1796">
        <v>500</v>
      </c>
    </row>
    <row r="1797" spans="1:4" x14ac:dyDescent="0.3">
      <c r="A1797" t="s">
        <v>1977</v>
      </c>
      <c r="B1797" t="s">
        <v>1984</v>
      </c>
      <c r="C1797">
        <v>80</v>
      </c>
      <c r="D1797">
        <v>76</v>
      </c>
    </row>
    <row r="1798" spans="1:4" x14ac:dyDescent="0.3">
      <c r="A1798" t="s">
        <v>1977</v>
      </c>
      <c r="B1798" t="s">
        <v>1949</v>
      </c>
      <c r="C1798">
        <v>700</v>
      </c>
      <c r="D1798">
        <v>609</v>
      </c>
    </row>
    <row r="1799" spans="1:4" x14ac:dyDescent="0.3">
      <c r="A1799" t="s">
        <v>1977</v>
      </c>
      <c r="B1799" t="s">
        <v>1984</v>
      </c>
      <c r="C1799">
        <v>80</v>
      </c>
      <c r="D1799">
        <v>70</v>
      </c>
    </row>
    <row r="1800" spans="1:4" x14ac:dyDescent="0.3">
      <c r="A1800" t="s">
        <v>1977</v>
      </c>
      <c r="B1800" t="s">
        <v>1984</v>
      </c>
      <c r="C1800">
        <v>80</v>
      </c>
      <c r="D1800">
        <v>75</v>
      </c>
    </row>
    <row r="1801" spans="1:4" x14ac:dyDescent="0.3">
      <c r="A1801" t="s">
        <v>1977</v>
      </c>
      <c r="B1801" t="s">
        <v>1948</v>
      </c>
      <c r="C1801">
        <v>800</v>
      </c>
      <c r="D1801">
        <v>552</v>
      </c>
    </row>
    <row r="1802" spans="1:4" x14ac:dyDescent="0.3">
      <c r="A1802" t="s">
        <v>1977</v>
      </c>
      <c r="B1802" t="s">
        <v>1989</v>
      </c>
      <c r="C1802">
        <v>150</v>
      </c>
      <c r="D1802">
        <v>146</v>
      </c>
    </row>
    <row r="1803" spans="1:4" x14ac:dyDescent="0.3">
      <c r="A1803" t="s">
        <v>1977</v>
      </c>
      <c r="B1803" t="s">
        <v>1984</v>
      </c>
      <c r="C1803">
        <v>80</v>
      </c>
      <c r="D1803">
        <v>74</v>
      </c>
    </row>
    <row r="1804" spans="1:4" x14ac:dyDescent="0.3">
      <c r="A1804" t="s">
        <v>1977</v>
      </c>
      <c r="B1804" t="s">
        <v>1986</v>
      </c>
      <c r="C1804">
        <v>500</v>
      </c>
      <c r="D1804">
        <v>500</v>
      </c>
    </row>
    <row r="1805" spans="1:4" x14ac:dyDescent="0.3">
      <c r="A1805" t="s">
        <v>1977</v>
      </c>
      <c r="B1805" t="s">
        <v>1987</v>
      </c>
      <c r="C1805">
        <v>50</v>
      </c>
      <c r="D1805">
        <v>43</v>
      </c>
    </row>
    <row r="1806" spans="1:4" x14ac:dyDescent="0.3">
      <c r="A1806" t="s">
        <v>1977</v>
      </c>
      <c r="B1806" t="s">
        <v>1988</v>
      </c>
      <c r="C1806">
        <v>70</v>
      </c>
      <c r="D1806">
        <v>67</v>
      </c>
    </row>
    <row r="1807" spans="1:4" x14ac:dyDescent="0.3">
      <c r="A1807" t="s">
        <v>1977</v>
      </c>
      <c r="B1807" t="s">
        <v>1984</v>
      </c>
      <c r="C1807">
        <v>80</v>
      </c>
      <c r="D1807">
        <v>62</v>
      </c>
    </row>
    <row r="1808" spans="1:4" x14ac:dyDescent="0.3">
      <c r="A1808" t="s">
        <v>1977</v>
      </c>
      <c r="B1808" t="s">
        <v>1984</v>
      </c>
      <c r="C1808">
        <v>80</v>
      </c>
      <c r="D1808">
        <v>74</v>
      </c>
    </row>
    <row r="1809" spans="1:4" x14ac:dyDescent="0.3">
      <c r="A1809" t="s">
        <v>1977</v>
      </c>
      <c r="B1809" t="s">
        <v>1989</v>
      </c>
      <c r="C1809">
        <v>150</v>
      </c>
      <c r="D1809">
        <v>143</v>
      </c>
    </row>
    <row r="1810" spans="1:4" x14ac:dyDescent="0.3">
      <c r="A1810" t="s">
        <v>1977</v>
      </c>
      <c r="B1810" t="s">
        <v>1989</v>
      </c>
      <c r="C1810">
        <v>150</v>
      </c>
      <c r="D1810">
        <v>132</v>
      </c>
    </row>
    <row r="1811" spans="1:4" x14ac:dyDescent="0.3">
      <c r="A1811" t="s">
        <v>1977</v>
      </c>
      <c r="B1811" t="s">
        <v>1989</v>
      </c>
      <c r="C1811">
        <v>150</v>
      </c>
      <c r="D1811">
        <v>140</v>
      </c>
    </row>
    <row r="1812" spans="1:4" x14ac:dyDescent="0.3">
      <c r="A1812" t="s">
        <v>1977</v>
      </c>
      <c r="B1812" t="s">
        <v>1948</v>
      </c>
      <c r="C1812">
        <v>800</v>
      </c>
      <c r="D1812">
        <v>608</v>
      </c>
    </row>
    <row r="1813" spans="1:4" x14ac:dyDescent="0.3">
      <c r="A1813" t="s">
        <v>1977</v>
      </c>
      <c r="B1813" t="s">
        <v>1984</v>
      </c>
      <c r="C1813">
        <v>80</v>
      </c>
      <c r="D1813">
        <v>66</v>
      </c>
    </row>
    <row r="1814" spans="1:4" x14ac:dyDescent="0.3">
      <c r="A1814" t="s">
        <v>1977</v>
      </c>
      <c r="B1814" t="s">
        <v>1989</v>
      </c>
      <c r="C1814">
        <v>150</v>
      </c>
      <c r="D1814">
        <v>125</v>
      </c>
    </row>
    <row r="1815" spans="1:4" x14ac:dyDescent="0.3">
      <c r="A1815" t="s">
        <v>1977</v>
      </c>
      <c r="B1815" t="s">
        <v>1985</v>
      </c>
      <c r="C1815">
        <v>250</v>
      </c>
      <c r="D1815">
        <v>198</v>
      </c>
    </row>
    <row r="1816" spans="1:4" x14ac:dyDescent="0.3">
      <c r="A1816" t="s">
        <v>1977</v>
      </c>
      <c r="B1816" t="s">
        <v>1988</v>
      </c>
      <c r="C1816">
        <v>70</v>
      </c>
      <c r="D1816">
        <v>53</v>
      </c>
    </row>
    <row r="1817" spans="1:4" x14ac:dyDescent="0.3">
      <c r="A1817" t="s">
        <v>1977</v>
      </c>
      <c r="B1817" t="s">
        <v>1984</v>
      </c>
      <c r="C1817">
        <v>80</v>
      </c>
      <c r="D1817">
        <v>56</v>
      </c>
    </row>
    <row r="1818" spans="1:4" x14ac:dyDescent="0.3">
      <c r="A1818" t="s">
        <v>1977</v>
      </c>
      <c r="B1818" t="s">
        <v>1992</v>
      </c>
      <c r="C1818">
        <v>30</v>
      </c>
      <c r="D1818">
        <v>29</v>
      </c>
    </row>
    <row r="1819" spans="1:4" x14ac:dyDescent="0.3">
      <c r="A1819" t="s">
        <v>1977</v>
      </c>
      <c r="B1819" t="s">
        <v>1986</v>
      </c>
      <c r="C1819">
        <v>500</v>
      </c>
      <c r="D1819">
        <v>490</v>
      </c>
    </row>
    <row r="1820" spans="1:4" x14ac:dyDescent="0.3">
      <c r="A1820" t="s">
        <v>1977</v>
      </c>
      <c r="B1820" t="s">
        <v>1989</v>
      </c>
      <c r="C1820">
        <v>150</v>
      </c>
      <c r="D1820">
        <v>131</v>
      </c>
    </row>
    <row r="1821" spans="1:4" x14ac:dyDescent="0.3">
      <c r="A1821" t="s">
        <v>1977</v>
      </c>
      <c r="B1821" t="s">
        <v>1990</v>
      </c>
      <c r="C1821">
        <v>50</v>
      </c>
      <c r="D1821">
        <v>37</v>
      </c>
    </row>
    <row r="1822" spans="1:4" x14ac:dyDescent="0.3">
      <c r="A1822" t="s">
        <v>1978</v>
      </c>
      <c r="B1822" t="s">
        <v>1992</v>
      </c>
      <c r="C1822">
        <v>30</v>
      </c>
      <c r="D1822">
        <v>29</v>
      </c>
    </row>
    <row r="1823" spans="1:4" x14ac:dyDescent="0.3">
      <c r="A1823" t="s">
        <v>1978</v>
      </c>
      <c r="B1823" t="s">
        <v>1987</v>
      </c>
      <c r="C1823">
        <v>50</v>
      </c>
      <c r="D1823">
        <v>49</v>
      </c>
    </row>
    <row r="1824" spans="1:4" x14ac:dyDescent="0.3">
      <c r="A1824" t="s">
        <v>1978</v>
      </c>
      <c r="B1824" t="s">
        <v>1988</v>
      </c>
      <c r="C1824">
        <v>70</v>
      </c>
      <c r="D1824">
        <v>69</v>
      </c>
    </row>
    <row r="1825" spans="1:4" x14ac:dyDescent="0.3">
      <c r="A1825" t="s">
        <v>1978</v>
      </c>
      <c r="B1825" t="s">
        <v>1985</v>
      </c>
      <c r="C1825">
        <v>250</v>
      </c>
      <c r="D1825">
        <v>250</v>
      </c>
    </row>
    <row r="1826" spans="1:4" x14ac:dyDescent="0.3">
      <c r="A1826" t="s">
        <v>1978</v>
      </c>
      <c r="B1826" t="s">
        <v>1984</v>
      </c>
      <c r="C1826">
        <v>80</v>
      </c>
      <c r="D1826">
        <v>78</v>
      </c>
    </row>
    <row r="1827" spans="1:4" x14ac:dyDescent="0.3">
      <c r="A1827" t="s">
        <v>1978</v>
      </c>
      <c r="B1827" t="s">
        <v>1988</v>
      </c>
      <c r="C1827">
        <v>70</v>
      </c>
      <c r="D1827">
        <v>69</v>
      </c>
    </row>
    <row r="1828" spans="1:4" x14ac:dyDescent="0.3">
      <c r="A1828" t="s">
        <v>1978</v>
      </c>
      <c r="B1828" t="s">
        <v>1992</v>
      </c>
      <c r="C1828">
        <v>30</v>
      </c>
      <c r="D1828">
        <v>30</v>
      </c>
    </row>
    <row r="1829" spans="1:4" x14ac:dyDescent="0.3">
      <c r="A1829" t="s">
        <v>1978</v>
      </c>
      <c r="B1829" t="s">
        <v>1987</v>
      </c>
      <c r="C1829">
        <v>50</v>
      </c>
      <c r="D1829">
        <v>48</v>
      </c>
    </row>
    <row r="1830" spans="1:4" x14ac:dyDescent="0.3">
      <c r="A1830" t="s">
        <v>1978</v>
      </c>
      <c r="B1830" t="s">
        <v>1986</v>
      </c>
      <c r="C1830">
        <v>500</v>
      </c>
      <c r="D1830">
        <v>490</v>
      </c>
    </row>
    <row r="1831" spans="1:4" x14ac:dyDescent="0.3">
      <c r="A1831" t="s">
        <v>1978</v>
      </c>
      <c r="B1831" t="s">
        <v>1987</v>
      </c>
      <c r="C1831">
        <v>50</v>
      </c>
      <c r="D1831">
        <v>50</v>
      </c>
    </row>
    <row r="1832" spans="1:4" x14ac:dyDescent="0.3">
      <c r="A1832" t="s">
        <v>1978</v>
      </c>
      <c r="B1832" t="s">
        <v>1987</v>
      </c>
      <c r="C1832">
        <v>50</v>
      </c>
      <c r="D1832">
        <v>50</v>
      </c>
    </row>
    <row r="1833" spans="1:4" x14ac:dyDescent="0.3">
      <c r="A1833" t="s">
        <v>1978</v>
      </c>
      <c r="B1833" t="s">
        <v>1989</v>
      </c>
      <c r="C1833">
        <v>150</v>
      </c>
      <c r="D1833">
        <v>150</v>
      </c>
    </row>
    <row r="1834" spans="1:4" x14ac:dyDescent="0.3">
      <c r="A1834" t="s">
        <v>1978</v>
      </c>
      <c r="B1834" t="s">
        <v>1992</v>
      </c>
      <c r="C1834">
        <v>30</v>
      </c>
      <c r="D1834">
        <v>29</v>
      </c>
    </row>
    <row r="1835" spans="1:4" x14ac:dyDescent="0.3">
      <c r="A1835" t="s">
        <v>1978</v>
      </c>
      <c r="B1835" t="s">
        <v>1949</v>
      </c>
      <c r="C1835">
        <v>700</v>
      </c>
      <c r="D1835">
        <v>665</v>
      </c>
    </row>
    <row r="1836" spans="1:4" x14ac:dyDescent="0.3">
      <c r="A1836" t="s">
        <v>1978</v>
      </c>
      <c r="B1836" t="s">
        <v>1986</v>
      </c>
      <c r="C1836">
        <v>500</v>
      </c>
      <c r="D1836">
        <v>490</v>
      </c>
    </row>
    <row r="1837" spans="1:4" x14ac:dyDescent="0.3">
      <c r="A1837" t="s">
        <v>1978</v>
      </c>
      <c r="B1837" t="s">
        <v>1989</v>
      </c>
      <c r="C1837">
        <v>150</v>
      </c>
      <c r="D1837">
        <v>149</v>
      </c>
    </row>
    <row r="1838" spans="1:4" x14ac:dyDescent="0.3">
      <c r="A1838" t="s">
        <v>1978</v>
      </c>
      <c r="B1838" t="s">
        <v>1992</v>
      </c>
      <c r="C1838">
        <v>30</v>
      </c>
      <c r="D1838">
        <v>29</v>
      </c>
    </row>
    <row r="1839" spans="1:4" x14ac:dyDescent="0.3">
      <c r="A1839" t="s">
        <v>1978</v>
      </c>
      <c r="B1839" t="s">
        <v>1984</v>
      </c>
      <c r="C1839">
        <v>80</v>
      </c>
      <c r="D1839">
        <v>76</v>
      </c>
    </row>
    <row r="1840" spans="1:4" x14ac:dyDescent="0.3">
      <c r="A1840" t="s">
        <v>1978</v>
      </c>
      <c r="B1840" t="s">
        <v>1988</v>
      </c>
      <c r="C1840">
        <v>70</v>
      </c>
      <c r="D1840">
        <v>69</v>
      </c>
    </row>
    <row r="1841" spans="1:4" x14ac:dyDescent="0.3">
      <c r="A1841" t="s">
        <v>1978</v>
      </c>
      <c r="B1841" t="s">
        <v>1992</v>
      </c>
      <c r="C1841">
        <v>30</v>
      </c>
      <c r="D1841">
        <v>29</v>
      </c>
    </row>
    <row r="1842" spans="1:4" x14ac:dyDescent="0.3">
      <c r="A1842" t="s">
        <v>1978</v>
      </c>
      <c r="B1842" t="s">
        <v>1989</v>
      </c>
      <c r="C1842">
        <v>150</v>
      </c>
      <c r="D1842">
        <v>150</v>
      </c>
    </row>
    <row r="1843" spans="1:4" x14ac:dyDescent="0.3">
      <c r="A1843" t="s">
        <v>1978</v>
      </c>
      <c r="B1843" t="s">
        <v>1988</v>
      </c>
      <c r="C1843">
        <v>70</v>
      </c>
      <c r="D1843">
        <v>68</v>
      </c>
    </row>
    <row r="1844" spans="1:4" x14ac:dyDescent="0.3">
      <c r="A1844" t="s">
        <v>1978</v>
      </c>
      <c r="B1844" t="s">
        <v>1948</v>
      </c>
      <c r="C1844">
        <v>800</v>
      </c>
      <c r="D1844">
        <v>664</v>
      </c>
    </row>
    <row r="1845" spans="1:4" x14ac:dyDescent="0.3">
      <c r="A1845" t="s">
        <v>1978</v>
      </c>
      <c r="B1845" t="s">
        <v>1985</v>
      </c>
      <c r="C1845">
        <v>250</v>
      </c>
      <c r="D1845">
        <v>248</v>
      </c>
    </row>
    <row r="1846" spans="1:4" x14ac:dyDescent="0.3">
      <c r="A1846" t="s">
        <v>1978</v>
      </c>
      <c r="B1846" t="s">
        <v>1992</v>
      </c>
      <c r="C1846">
        <v>30</v>
      </c>
      <c r="D1846">
        <v>30</v>
      </c>
    </row>
    <row r="1847" spans="1:4" x14ac:dyDescent="0.3">
      <c r="A1847" t="s">
        <v>1978</v>
      </c>
      <c r="B1847" t="s">
        <v>1989</v>
      </c>
      <c r="C1847">
        <v>150</v>
      </c>
      <c r="D1847">
        <v>144</v>
      </c>
    </row>
    <row r="1848" spans="1:4" x14ac:dyDescent="0.3">
      <c r="A1848" t="s">
        <v>1978</v>
      </c>
      <c r="B1848" t="s">
        <v>1984</v>
      </c>
      <c r="C1848">
        <v>80</v>
      </c>
      <c r="D1848">
        <v>77</v>
      </c>
    </row>
    <row r="1849" spans="1:4" x14ac:dyDescent="0.3">
      <c r="A1849" t="s">
        <v>1978</v>
      </c>
      <c r="B1849" t="s">
        <v>1992</v>
      </c>
      <c r="C1849">
        <v>30</v>
      </c>
      <c r="D1849">
        <v>29</v>
      </c>
    </row>
    <row r="1850" spans="1:4" x14ac:dyDescent="0.3">
      <c r="A1850" t="s">
        <v>1978</v>
      </c>
      <c r="B1850" t="s">
        <v>1950</v>
      </c>
      <c r="C1850">
        <v>1000</v>
      </c>
      <c r="D1850">
        <v>610</v>
      </c>
    </row>
    <row r="1851" spans="1:4" x14ac:dyDescent="0.3">
      <c r="A1851" t="s">
        <v>1978</v>
      </c>
      <c r="B1851" t="s">
        <v>1989</v>
      </c>
      <c r="C1851">
        <v>150</v>
      </c>
      <c r="D1851">
        <v>143</v>
      </c>
    </row>
    <row r="1852" spans="1:4" x14ac:dyDescent="0.3">
      <c r="A1852" t="s">
        <v>1978</v>
      </c>
      <c r="B1852" t="s">
        <v>1989</v>
      </c>
      <c r="C1852">
        <v>150</v>
      </c>
      <c r="D1852">
        <v>146</v>
      </c>
    </row>
    <row r="1853" spans="1:4" x14ac:dyDescent="0.3">
      <c r="A1853" t="s">
        <v>1978</v>
      </c>
      <c r="B1853" t="s">
        <v>1990</v>
      </c>
      <c r="C1853">
        <v>50</v>
      </c>
      <c r="D1853">
        <v>49</v>
      </c>
    </row>
    <row r="1854" spans="1:4" x14ac:dyDescent="0.3">
      <c r="A1854" t="s">
        <v>1978</v>
      </c>
      <c r="B1854" t="s">
        <v>1986</v>
      </c>
      <c r="C1854">
        <v>500</v>
      </c>
      <c r="D1854">
        <v>490</v>
      </c>
    </row>
    <row r="1855" spans="1:4" x14ac:dyDescent="0.3">
      <c r="A1855" t="s">
        <v>1978</v>
      </c>
      <c r="B1855" t="s">
        <v>1986</v>
      </c>
      <c r="C1855">
        <v>500</v>
      </c>
      <c r="D1855">
        <v>490</v>
      </c>
    </row>
    <row r="1856" spans="1:4" x14ac:dyDescent="0.3">
      <c r="A1856" t="s">
        <v>1979</v>
      </c>
      <c r="B1856" t="s">
        <v>1985</v>
      </c>
      <c r="C1856">
        <v>250</v>
      </c>
      <c r="D1856">
        <v>240</v>
      </c>
    </row>
    <row r="1857" spans="1:4" x14ac:dyDescent="0.3">
      <c r="A1857" t="s">
        <v>1979</v>
      </c>
      <c r="B1857" t="s">
        <v>1989</v>
      </c>
      <c r="C1857">
        <v>150</v>
      </c>
      <c r="D1857">
        <v>137</v>
      </c>
    </row>
    <row r="1858" spans="1:4" x14ac:dyDescent="0.3">
      <c r="A1858" t="s">
        <v>1979</v>
      </c>
      <c r="B1858" t="s">
        <v>1984</v>
      </c>
      <c r="C1858">
        <v>80</v>
      </c>
      <c r="D1858">
        <v>80</v>
      </c>
    </row>
    <row r="1859" spans="1:4" x14ac:dyDescent="0.3">
      <c r="A1859" t="s">
        <v>1979</v>
      </c>
      <c r="B1859" t="s">
        <v>1987</v>
      </c>
      <c r="C1859">
        <v>50</v>
      </c>
      <c r="D1859">
        <v>47</v>
      </c>
    </row>
    <row r="1860" spans="1:4" x14ac:dyDescent="0.3">
      <c r="A1860" t="s">
        <v>1979</v>
      </c>
      <c r="B1860" t="s">
        <v>1990</v>
      </c>
      <c r="C1860">
        <v>50</v>
      </c>
      <c r="D1860">
        <v>45</v>
      </c>
    </row>
    <row r="1861" spans="1:4" x14ac:dyDescent="0.3">
      <c r="A1861" t="s">
        <v>1979</v>
      </c>
      <c r="B1861" t="s">
        <v>1986</v>
      </c>
      <c r="C1861">
        <v>500</v>
      </c>
      <c r="D1861">
        <v>500</v>
      </c>
    </row>
    <row r="1862" spans="1:4" x14ac:dyDescent="0.3">
      <c r="A1862" t="s">
        <v>1979</v>
      </c>
      <c r="B1862" t="s">
        <v>1989</v>
      </c>
      <c r="C1862">
        <v>150</v>
      </c>
      <c r="D1862">
        <v>144</v>
      </c>
    </row>
    <row r="1863" spans="1:4" x14ac:dyDescent="0.3">
      <c r="A1863" t="s">
        <v>1979</v>
      </c>
      <c r="B1863" t="s">
        <v>1988</v>
      </c>
      <c r="C1863">
        <v>70</v>
      </c>
      <c r="D1863">
        <v>68</v>
      </c>
    </row>
    <row r="1864" spans="1:4" x14ac:dyDescent="0.3">
      <c r="A1864" t="s">
        <v>1979</v>
      </c>
      <c r="B1864" t="s">
        <v>1992</v>
      </c>
      <c r="C1864">
        <v>30</v>
      </c>
      <c r="D1864">
        <v>28</v>
      </c>
    </row>
    <row r="1865" spans="1:4" x14ac:dyDescent="0.3">
      <c r="A1865" t="s">
        <v>1979</v>
      </c>
      <c r="B1865" t="s">
        <v>1986</v>
      </c>
      <c r="C1865">
        <v>500</v>
      </c>
      <c r="D1865">
        <v>490</v>
      </c>
    </row>
    <row r="1866" spans="1:4" x14ac:dyDescent="0.3">
      <c r="A1866" t="s">
        <v>1979</v>
      </c>
      <c r="B1866" t="s">
        <v>1948</v>
      </c>
      <c r="C1866">
        <v>800</v>
      </c>
      <c r="D1866">
        <v>512</v>
      </c>
    </row>
    <row r="1867" spans="1:4" x14ac:dyDescent="0.3">
      <c r="A1867" t="s">
        <v>1979</v>
      </c>
      <c r="B1867" t="s">
        <v>1984</v>
      </c>
      <c r="C1867">
        <v>80</v>
      </c>
      <c r="D1867">
        <v>75</v>
      </c>
    </row>
    <row r="1868" spans="1:4" x14ac:dyDescent="0.3">
      <c r="A1868" t="s">
        <v>1979</v>
      </c>
      <c r="B1868" t="s">
        <v>1992</v>
      </c>
      <c r="C1868">
        <v>30</v>
      </c>
      <c r="D1868">
        <v>28</v>
      </c>
    </row>
    <row r="1869" spans="1:4" x14ac:dyDescent="0.3">
      <c r="A1869" t="s">
        <v>1979</v>
      </c>
      <c r="B1869" t="s">
        <v>1986</v>
      </c>
      <c r="C1869">
        <v>500</v>
      </c>
      <c r="D1869">
        <v>500</v>
      </c>
    </row>
    <row r="1870" spans="1:4" x14ac:dyDescent="0.3">
      <c r="A1870" t="s">
        <v>1979</v>
      </c>
      <c r="B1870" t="s">
        <v>1991</v>
      </c>
      <c r="C1870">
        <v>500</v>
      </c>
      <c r="D1870">
        <v>455</v>
      </c>
    </row>
    <row r="1871" spans="1:4" x14ac:dyDescent="0.3">
      <c r="A1871" t="s">
        <v>1979</v>
      </c>
      <c r="B1871" t="s">
        <v>1984</v>
      </c>
      <c r="C1871">
        <v>80</v>
      </c>
      <c r="D1871">
        <v>73</v>
      </c>
    </row>
    <row r="1872" spans="1:4" x14ac:dyDescent="0.3">
      <c r="A1872" t="s">
        <v>1979</v>
      </c>
      <c r="B1872" t="s">
        <v>1985</v>
      </c>
      <c r="C1872">
        <v>250</v>
      </c>
      <c r="D1872">
        <v>240</v>
      </c>
    </row>
    <row r="1873" spans="1:4" x14ac:dyDescent="0.3">
      <c r="A1873" t="s">
        <v>1979</v>
      </c>
      <c r="B1873" t="s">
        <v>1989</v>
      </c>
      <c r="C1873">
        <v>150</v>
      </c>
      <c r="D1873">
        <v>140</v>
      </c>
    </row>
    <row r="1874" spans="1:4" x14ac:dyDescent="0.3">
      <c r="A1874" t="s">
        <v>1979</v>
      </c>
      <c r="B1874" t="s">
        <v>1988</v>
      </c>
      <c r="C1874">
        <v>70</v>
      </c>
      <c r="D1874">
        <v>65</v>
      </c>
    </row>
    <row r="1875" spans="1:4" x14ac:dyDescent="0.3">
      <c r="A1875" t="s">
        <v>1979</v>
      </c>
      <c r="B1875" t="s">
        <v>1989</v>
      </c>
      <c r="C1875">
        <v>150</v>
      </c>
      <c r="D1875">
        <v>147</v>
      </c>
    </row>
    <row r="1876" spans="1:4" x14ac:dyDescent="0.3">
      <c r="A1876" t="s">
        <v>1979</v>
      </c>
      <c r="B1876" t="s">
        <v>1990</v>
      </c>
      <c r="C1876">
        <v>50</v>
      </c>
      <c r="D1876">
        <v>44</v>
      </c>
    </row>
    <row r="1877" spans="1:4" x14ac:dyDescent="0.3">
      <c r="A1877" t="s">
        <v>1979</v>
      </c>
      <c r="B1877" t="s">
        <v>1990</v>
      </c>
      <c r="C1877">
        <v>50</v>
      </c>
      <c r="D1877">
        <v>44</v>
      </c>
    </row>
    <row r="1878" spans="1:4" x14ac:dyDescent="0.3">
      <c r="A1878" t="s">
        <v>1979</v>
      </c>
      <c r="B1878" t="s">
        <v>1992</v>
      </c>
      <c r="C1878">
        <v>30</v>
      </c>
      <c r="D1878">
        <v>30</v>
      </c>
    </row>
    <row r="1879" spans="1:4" x14ac:dyDescent="0.3">
      <c r="A1879" t="s">
        <v>1979</v>
      </c>
      <c r="B1879" t="s">
        <v>1992</v>
      </c>
      <c r="C1879">
        <v>30</v>
      </c>
      <c r="D1879">
        <v>27</v>
      </c>
    </row>
    <row r="1880" spans="1:4" x14ac:dyDescent="0.3">
      <c r="A1880" t="s">
        <v>1979</v>
      </c>
      <c r="B1880" t="s">
        <v>1949</v>
      </c>
      <c r="C1880">
        <v>700</v>
      </c>
      <c r="D1880">
        <v>602</v>
      </c>
    </row>
    <row r="1881" spans="1:4" x14ac:dyDescent="0.3">
      <c r="A1881" t="s">
        <v>1979</v>
      </c>
      <c r="B1881" t="s">
        <v>1990</v>
      </c>
      <c r="C1881">
        <v>50</v>
      </c>
      <c r="D1881">
        <v>49</v>
      </c>
    </row>
    <row r="1882" spans="1:4" x14ac:dyDescent="0.3">
      <c r="A1882" t="s">
        <v>1979</v>
      </c>
      <c r="B1882" t="s">
        <v>1985</v>
      </c>
      <c r="C1882">
        <v>250</v>
      </c>
      <c r="D1882">
        <v>225</v>
      </c>
    </row>
    <row r="1883" spans="1:4" x14ac:dyDescent="0.3">
      <c r="A1883" t="s">
        <v>1979</v>
      </c>
      <c r="B1883" t="s">
        <v>1949</v>
      </c>
      <c r="C1883">
        <v>700</v>
      </c>
      <c r="D1883">
        <v>616</v>
      </c>
    </row>
    <row r="1884" spans="1:4" x14ac:dyDescent="0.3">
      <c r="A1884" t="s">
        <v>1979</v>
      </c>
      <c r="B1884" t="s">
        <v>1990</v>
      </c>
      <c r="C1884">
        <v>50</v>
      </c>
      <c r="D1884">
        <v>32</v>
      </c>
    </row>
    <row r="1885" spans="1:4" x14ac:dyDescent="0.3">
      <c r="A1885" t="s">
        <v>1979</v>
      </c>
      <c r="B1885" t="s">
        <v>1987</v>
      </c>
      <c r="C1885">
        <v>50</v>
      </c>
      <c r="D1885">
        <v>40</v>
      </c>
    </row>
    <row r="1886" spans="1:4" x14ac:dyDescent="0.3">
      <c r="A1886" t="s">
        <v>1979</v>
      </c>
      <c r="B1886" t="s">
        <v>1987</v>
      </c>
      <c r="C1886">
        <v>50</v>
      </c>
      <c r="D1886">
        <v>31</v>
      </c>
    </row>
    <row r="1887" spans="1:4" x14ac:dyDescent="0.3">
      <c r="A1887" t="s">
        <v>1979</v>
      </c>
      <c r="B1887" t="s">
        <v>1985</v>
      </c>
      <c r="C1887">
        <v>250</v>
      </c>
      <c r="D1887">
        <v>155</v>
      </c>
    </row>
    <row r="1888" spans="1:4" x14ac:dyDescent="0.3">
      <c r="A1888" t="s">
        <v>1979</v>
      </c>
      <c r="B1888" t="s">
        <v>1991</v>
      </c>
      <c r="C1888">
        <v>500</v>
      </c>
      <c r="D1888">
        <v>315</v>
      </c>
    </row>
    <row r="1889" spans="1:4" x14ac:dyDescent="0.3">
      <c r="A1889" t="s">
        <v>1979</v>
      </c>
      <c r="B1889" t="s">
        <v>1948</v>
      </c>
      <c r="C1889">
        <v>800</v>
      </c>
      <c r="D1889">
        <v>664</v>
      </c>
    </row>
    <row r="1890" spans="1:4" x14ac:dyDescent="0.3">
      <c r="A1890" t="s">
        <v>1979</v>
      </c>
      <c r="B1890" t="s">
        <v>1948</v>
      </c>
      <c r="C1890">
        <v>800</v>
      </c>
      <c r="D1890">
        <v>480</v>
      </c>
    </row>
    <row r="1891" spans="1:4" x14ac:dyDescent="0.3">
      <c r="A1891" t="s">
        <v>1979</v>
      </c>
      <c r="B1891" t="s">
        <v>1986</v>
      </c>
      <c r="C1891">
        <v>500</v>
      </c>
      <c r="D1891">
        <v>500</v>
      </c>
    </row>
    <row r="1892" spans="1:4" x14ac:dyDescent="0.3">
      <c r="A1892" t="s">
        <v>1979</v>
      </c>
      <c r="B1892" t="s">
        <v>1986</v>
      </c>
      <c r="C1892">
        <v>500</v>
      </c>
      <c r="D1892">
        <v>495</v>
      </c>
    </row>
    <row r="1893" spans="1:4" x14ac:dyDescent="0.3">
      <c r="A1893" t="s">
        <v>1979</v>
      </c>
      <c r="B1893" t="s">
        <v>1991</v>
      </c>
      <c r="C1893">
        <v>500</v>
      </c>
      <c r="D1893">
        <v>465</v>
      </c>
    </row>
    <row r="1894" spans="1:4" x14ac:dyDescent="0.3">
      <c r="A1894" t="s">
        <v>1979</v>
      </c>
      <c r="B1894" t="s">
        <v>1984</v>
      </c>
      <c r="C1894">
        <v>80</v>
      </c>
      <c r="D1894">
        <v>66</v>
      </c>
    </row>
    <row r="1895" spans="1:4" x14ac:dyDescent="0.3">
      <c r="A1895" t="s">
        <v>1979</v>
      </c>
      <c r="B1895" t="s">
        <v>1984</v>
      </c>
      <c r="C1895">
        <v>80</v>
      </c>
      <c r="D1895">
        <v>74</v>
      </c>
    </row>
    <row r="1896" spans="1:4" x14ac:dyDescent="0.3">
      <c r="A1896" t="s">
        <v>1979</v>
      </c>
      <c r="B1896" t="s">
        <v>1992</v>
      </c>
      <c r="C1896">
        <v>30</v>
      </c>
      <c r="D1896">
        <v>29</v>
      </c>
    </row>
    <row r="1897" spans="1:4" x14ac:dyDescent="0.3">
      <c r="A1897" t="s">
        <v>1980</v>
      </c>
      <c r="B1897" t="s">
        <v>1987</v>
      </c>
      <c r="C1897">
        <v>50</v>
      </c>
      <c r="D1897">
        <v>47</v>
      </c>
    </row>
    <row r="1898" spans="1:4" x14ac:dyDescent="0.3">
      <c r="A1898" t="s">
        <v>1980</v>
      </c>
      <c r="B1898" t="s">
        <v>1992</v>
      </c>
      <c r="C1898">
        <v>30</v>
      </c>
      <c r="D1898">
        <v>29</v>
      </c>
    </row>
    <row r="1899" spans="1:4" x14ac:dyDescent="0.3">
      <c r="A1899" t="s">
        <v>1980</v>
      </c>
      <c r="B1899" t="s">
        <v>1987</v>
      </c>
      <c r="C1899">
        <v>50</v>
      </c>
      <c r="D1899">
        <v>47</v>
      </c>
    </row>
    <row r="1900" spans="1:4" x14ac:dyDescent="0.3">
      <c r="A1900" t="s">
        <v>1980</v>
      </c>
      <c r="B1900" t="s">
        <v>1985</v>
      </c>
      <c r="C1900">
        <v>250</v>
      </c>
      <c r="D1900">
        <v>223</v>
      </c>
    </row>
    <row r="1901" spans="1:4" x14ac:dyDescent="0.3">
      <c r="A1901" t="s">
        <v>1980</v>
      </c>
      <c r="B1901" t="s">
        <v>1984</v>
      </c>
      <c r="C1901">
        <v>80</v>
      </c>
      <c r="D1901">
        <v>58</v>
      </c>
    </row>
    <row r="1902" spans="1:4" x14ac:dyDescent="0.3">
      <c r="A1902" t="s">
        <v>1980</v>
      </c>
      <c r="B1902" t="s">
        <v>1991</v>
      </c>
      <c r="C1902">
        <v>500</v>
      </c>
      <c r="D1902">
        <v>100</v>
      </c>
    </row>
    <row r="1903" spans="1:4" x14ac:dyDescent="0.3">
      <c r="A1903" t="s">
        <v>1980</v>
      </c>
      <c r="B1903" t="s">
        <v>1986</v>
      </c>
      <c r="C1903">
        <v>500</v>
      </c>
      <c r="D1903">
        <v>500</v>
      </c>
    </row>
    <row r="1904" spans="1:4" x14ac:dyDescent="0.3">
      <c r="A1904" t="s">
        <v>1980</v>
      </c>
      <c r="B1904" t="s">
        <v>1984</v>
      </c>
      <c r="C1904">
        <v>80</v>
      </c>
      <c r="D1904">
        <v>78</v>
      </c>
    </row>
    <row r="1905" spans="1:4" x14ac:dyDescent="0.3">
      <c r="A1905" t="s">
        <v>1980</v>
      </c>
      <c r="B1905" t="s">
        <v>1992</v>
      </c>
      <c r="C1905">
        <v>30</v>
      </c>
      <c r="D1905">
        <v>30</v>
      </c>
    </row>
    <row r="1906" spans="1:4" x14ac:dyDescent="0.3">
      <c r="A1906" t="s">
        <v>1980</v>
      </c>
      <c r="B1906" t="s">
        <v>1989</v>
      </c>
      <c r="C1906">
        <v>150</v>
      </c>
      <c r="D1906">
        <v>99</v>
      </c>
    </row>
    <row r="1907" spans="1:4" x14ac:dyDescent="0.3">
      <c r="A1907" t="s">
        <v>1980</v>
      </c>
      <c r="B1907" t="s">
        <v>1987</v>
      </c>
      <c r="C1907">
        <v>50</v>
      </c>
      <c r="D1907">
        <v>46</v>
      </c>
    </row>
    <row r="1908" spans="1:4" x14ac:dyDescent="0.3">
      <c r="A1908" t="s">
        <v>1980</v>
      </c>
      <c r="B1908" t="s">
        <v>1990</v>
      </c>
      <c r="C1908">
        <v>50</v>
      </c>
      <c r="D1908">
        <v>49</v>
      </c>
    </row>
    <row r="1909" spans="1:4" x14ac:dyDescent="0.3">
      <c r="A1909" t="s">
        <v>1980</v>
      </c>
      <c r="B1909" t="s">
        <v>1949</v>
      </c>
      <c r="C1909">
        <v>700</v>
      </c>
      <c r="D1909">
        <v>665</v>
      </c>
    </row>
    <row r="1910" spans="1:4" x14ac:dyDescent="0.3">
      <c r="A1910" t="s">
        <v>1980</v>
      </c>
      <c r="B1910" t="s">
        <v>1948</v>
      </c>
      <c r="C1910">
        <v>800</v>
      </c>
      <c r="D1910">
        <v>592</v>
      </c>
    </row>
    <row r="1911" spans="1:4" x14ac:dyDescent="0.3">
      <c r="A1911" t="s">
        <v>1980</v>
      </c>
      <c r="B1911" t="s">
        <v>1949</v>
      </c>
      <c r="C1911">
        <v>700</v>
      </c>
      <c r="D1911">
        <v>637</v>
      </c>
    </row>
    <row r="1912" spans="1:4" x14ac:dyDescent="0.3">
      <c r="A1912" t="s">
        <v>1980</v>
      </c>
      <c r="B1912" t="s">
        <v>1991</v>
      </c>
      <c r="C1912">
        <v>500</v>
      </c>
      <c r="D1912">
        <v>265</v>
      </c>
    </row>
    <row r="1913" spans="1:4" x14ac:dyDescent="0.3">
      <c r="A1913" t="s">
        <v>1980</v>
      </c>
      <c r="B1913" t="s">
        <v>1948</v>
      </c>
      <c r="C1913">
        <v>800</v>
      </c>
      <c r="D1913">
        <v>664</v>
      </c>
    </row>
    <row r="1914" spans="1:4" x14ac:dyDescent="0.3">
      <c r="A1914" t="s">
        <v>1980</v>
      </c>
      <c r="B1914" t="s">
        <v>1988</v>
      </c>
      <c r="C1914">
        <v>70</v>
      </c>
      <c r="D1914">
        <v>67</v>
      </c>
    </row>
    <row r="1915" spans="1:4" x14ac:dyDescent="0.3">
      <c r="A1915" t="s">
        <v>1980</v>
      </c>
      <c r="B1915" t="s">
        <v>1992</v>
      </c>
      <c r="C1915">
        <v>30</v>
      </c>
      <c r="D1915">
        <v>29</v>
      </c>
    </row>
    <row r="1916" spans="1:4" x14ac:dyDescent="0.3">
      <c r="A1916" t="s">
        <v>1980</v>
      </c>
      <c r="B1916" t="s">
        <v>1949</v>
      </c>
      <c r="C1916">
        <v>700</v>
      </c>
      <c r="D1916">
        <v>595</v>
      </c>
    </row>
    <row r="1917" spans="1:4" x14ac:dyDescent="0.3">
      <c r="A1917" t="s">
        <v>1980</v>
      </c>
      <c r="B1917" t="s">
        <v>1988</v>
      </c>
      <c r="C1917">
        <v>70</v>
      </c>
      <c r="D1917">
        <v>66</v>
      </c>
    </row>
    <row r="1918" spans="1:4" x14ac:dyDescent="0.3">
      <c r="A1918" t="s">
        <v>1980</v>
      </c>
      <c r="B1918" t="s">
        <v>1988</v>
      </c>
      <c r="C1918">
        <v>70</v>
      </c>
      <c r="D1918">
        <v>62</v>
      </c>
    </row>
    <row r="1919" spans="1:4" x14ac:dyDescent="0.3">
      <c r="A1919" t="s">
        <v>1980</v>
      </c>
      <c r="B1919" t="s">
        <v>1985</v>
      </c>
      <c r="C1919">
        <v>250</v>
      </c>
      <c r="D1919">
        <v>218</v>
      </c>
    </row>
    <row r="1920" spans="1:4" x14ac:dyDescent="0.3">
      <c r="A1920" t="s">
        <v>1980</v>
      </c>
      <c r="B1920" t="s">
        <v>1990</v>
      </c>
      <c r="C1920">
        <v>50</v>
      </c>
      <c r="D1920">
        <v>42</v>
      </c>
    </row>
    <row r="1921" spans="1:4" x14ac:dyDescent="0.3">
      <c r="A1921" t="s">
        <v>1980</v>
      </c>
      <c r="B1921" t="s">
        <v>1988</v>
      </c>
      <c r="C1921">
        <v>70</v>
      </c>
      <c r="D1921">
        <v>70</v>
      </c>
    </row>
    <row r="1922" spans="1:4" x14ac:dyDescent="0.3">
      <c r="A1922" t="s">
        <v>1980</v>
      </c>
      <c r="B1922" t="s">
        <v>1984</v>
      </c>
      <c r="C1922">
        <v>80</v>
      </c>
      <c r="D1922">
        <v>61</v>
      </c>
    </row>
    <row r="1923" spans="1:4" x14ac:dyDescent="0.3">
      <c r="A1923" t="s">
        <v>1980</v>
      </c>
      <c r="B1923" t="s">
        <v>1990</v>
      </c>
      <c r="C1923">
        <v>50</v>
      </c>
      <c r="D1923">
        <v>32</v>
      </c>
    </row>
    <row r="1924" spans="1:4" x14ac:dyDescent="0.3">
      <c r="A1924" t="s">
        <v>1980</v>
      </c>
      <c r="B1924" t="s">
        <v>1985</v>
      </c>
      <c r="C1924">
        <v>250</v>
      </c>
      <c r="D1924">
        <v>225</v>
      </c>
    </row>
    <row r="1925" spans="1:4" x14ac:dyDescent="0.3">
      <c r="A1925" t="s">
        <v>1980</v>
      </c>
      <c r="B1925" t="s">
        <v>1990</v>
      </c>
      <c r="C1925">
        <v>50</v>
      </c>
      <c r="D1925">
        <v>48</v>
      </c>
    </row>
    <row r="1926" spans="1:4" x14ac:dyDescent="0.3">
      <c r="A1926" t="s">
        <v>1980</v>
      </c>
      <c r="B1926" t="s">
        <v>1992</v>
      </c>
      <c r="C1926">
        <v>30</v>
      </c>
      <c r="D1926">
        <v>21</v>
      </c>
    </row>
    <row r="1927" spans="1:4" x14ac:dyDescent="0.3">
      <c r="A1927" t="s">
        <v>1980</v>
      </c>
      <c r="B1927" t="s">
        <v>1984</v>
      </c>
      <c r="C1927">
        <v>80</v>
      </c>
      <c r="D1927">
        <v>58</v>
      </c>
    </row>
    <row r="1928" spans="1:4" x14ac:dyDescent="0.3">
      <c r="A1928" t="s">
        <v>1980</v>
      </c>
      <c r="B1928" t="s">
        <v>1990</v>
      </c>
      <c r="C1928">
        <v>50</v>
      </c>
      <c r="D1928">
        <v>37</v>
      </c>
    </row>
    <row r="1929" spans="1:4" x14ac:dyDescent="0.3">
      <c r="A1929" t="s">
        <v>1980</v>
      </c>
      <c r="B1929" t="s">
        <v>1987</v>
      </c>
      <c r="C1929">
        <v>50</v>
      </c>
      <c r="D1929">
        <v>48</v>
      </c>
    </row>
    <row r="1930" spans="1:4" x14ac:dyDescent="0.3">
      <c r="A1930" t="s">
        <v>1980</v>
      </c>
      <c r="B1930" t="s">
        <v>1990</v>
      </c>
      <c r="C1930">
        <v>50</v>
      </c>
      <c r="D1930">
        <v>41</v>
      </c>
    </row>
    <row r="1931" spans="1:4" x14ac:dyDescent="0.3">
      <c r="A1931" t="s">
        <v>1980</v>
      </c>
      <c r="B1931" t="s">
        <v>1989</v>
      </c>
      <c r="C1931">
        <v>150</v>
      </c>
      <c r="D1931">
        <v>135</v>
      </c>
    </row>
    <row r="1932" spans="1:4" x14ac:dyDescent="0.3">
      <c r="A1932" t="s">
        <v>1980</v>
      </c>
      <c r="B1932" t="s">
        <v>1985</v>
      </c>
      <c r="C1932">
        <v>250</v>
      </c>
      <c r="D1932">
        <v>200</v>
      </c>
    </row>
    <row r="1933" spans="1:4" x14ac:dyDescent="0.3">
      <c r="A1933" t="s">
        <v>1980</v>
      </c>
      <c r="B1933" t="s">
        <v>1986</v>
      </c>
      <c r="C1933">
        <v>500</v>
      </c>
      <c r="D1933">
        <v>495</v>
      </c>
    </row>
    <row r="1934" spans="1:4" x14ac:dyDescent="0.3">
      <c r="A1934" t="s">
        <v>1980</v>
      </c>
      <c r="B1934" t="s">
        <v>1949</v>
      </c>
      <c r="C1934">
        <v>700</v>
      </c>
      <c r="D1934">
        <v>525</v>
      </c>
    </row>
    <row r="1935" spans="1:4" x14ac:dyDescent="0.3">
      <c r="A1935" t="s">
        <v>1980</v>
      </c>
      <c r="B1935" t="s">
        <v>1989</v>
      </c>
      <c r="C1935">
        <v>150</v>
      </c>
      <c r="D1935">
        <v>146</v>
      </c>
    </row>
    <row r="1936" spans="1:4" x14ac:dyDescent="0.3">
      <c r="A1936" t="s">
        <v>1980</v>
      </c>
      <c r="B1936" t="s">
        <v>1991</v>
      </c>
      <c r="C1936">
        <v>500</v>
      </c>
      <c r="D1936">
        <v>300</v>
      </c>
    </row>
    <row r="1937" spans="1:4" x14ac:dyDescent="0.3">
      <c r="A1937" t="s">
        <v>1980</v>
      </c>
      <c r="B1937" t="s">
        <v>1984</v>
      </c>
      <c r="C1937">
        <v>80</v>
      </c>
      <c r="D1937">
        <v>80</v>
      </c>
    </row>
    <row r="1938" spans="1:4" x14ac:dyDescent="0.3">
      <c r="A1938" t="s">
        <v>1980</v>
      </c>
      <c r="B1938" t="s">
        <v>1987</v>
      </c>
      <c r="C1938">
        <v>50</v>
      </c>
      <c r="D1938">
        <v>46</v>
      </c>
    </row>
    <row r="1939" spans="1:4" x14ac:dyDescent="0.3">
      <c r="A1939" t="s">
        <v>1981</v>
      </c>
      <c r="B1939" t="s">
        <v>1986</v>
      </c>
      <c r="C1939">
        <v>500</v>
      </c>
      <c r="D1939">
        <v>500</v>
      </c>
    </row>
    <row r="1940" spans="1:4" x14ac:dyDescent="0.3">
      <c r="A1940" t="s">
        <v>1981</v>
      </c>
      <c r="B1940" t="s">
        <v>1985</v>
      </c>
      <c r="C1940">
        <v>250</v>
      </c>
      <c r="D1940">
        <v>225</v>
      </c>
    </row>
    <row r="1941" spans="1:4" x14ac:dyDescent="0.3">
      <c r="A1941" t="s">
        <v>1981</v>
      </c>
      <c r="B1941" t="s">
        <v>1990</v>
      </c>
      <c r="C1941">
        <v>50</v>
      </c>
      <c r="D1941">
        <v>44</v>
      </c>
    </row>
    <row r="1942" spans="1:4" x14ac:dyDescent="0.3">
      <c r="A1942" t="s">
        <v>1981</v>
      </c>
      <c r="B1942" t="s">
        <v>1984</v>
      </c>
      <c r="C1942">
        <v>80</v>
      </c>
      <c r="D1942">
        <v>70</v>
      </c>
    </row>
    <row r="1943" spans="1:4" x14ac:dyDescent="0.3">
      <c r="A1943" t="s">
        <v>1981</v>
      </c>
      <c r="B1943" t="s">
        <v>1948</v>
      </c>
      <c r="C1943">
        <v>800</v>
      </c>
      <c r="D1943">
        <v>648</v>
      </c>
    </row>
    <row r="1944" spans="1:4" x14ac:dyDescent="0.3">
      <c r="A1944" t="s">
        <v>1981</v>
      </c>
      <c r="B1944" t="s">
        <v>1991</v>
      </c>
      <c r="C1944">
        <v>500</v>
      </c>
      <c r="D1944">
        <v>490</v>
      </c>
    </row>
    <row r="1945" spans="1:4" x14ac:dyDescent="0.3">
      <c r="A1945" t="s">
        <v>1981</v>
      </c>
      <c r="B1945" t="s">
        <v>1989</v>
      </c>
      <c r="C1945">
        <v>150</v>
      </c>
      <c r="D1945">
        <v>150</v>
      </c>
    </row>
    <row r="1946" spans="1:4" x14ac:dyDescent="0.3">
      <c r="A1946" t="s">
        <v>1981</v>
      </c>
      <c r="B1946" t="s">
        <v>1986</v>
      </c>
      <c r="C1946">
        <v>500</v>
      </c>
      <c r="D1946">
        <v>495</v>
      </c>
    </row>
    <row r="1947" spans="1:4" x14ac:dyDescent="0.3">
      <c r="A1947" t="s">
        <v>1981</v>
      </c>
      <c r="B1947" t="s">
        <v>1991</v>
      </c>
      <c r="C1947">
        <v>500</v>
      </c>
      <c r="D1947">
        <v>455</v>
      </c>
    </row>
    <row r="1948" spans="1:4" x14ac:dyDescent="0.3">
      <c r="A1948" t="s">
        <v>1981</v>
      </c>
      <c r="B1948" t="s">
        <v>1948</v>
      </c>
      <c r="C1948">
        <v>800</v>
      </c>
      <c r="D1948">
        <v>664</v>
      </c>
    </row>
    <row r="1949" spans="1:4" x14ac:dyDescent="0.3">
      <c r="A1949" t="s">
        <v>1981</v>
      </c>
      <c r="B1949" t="s">
        <v>1990</v>
      </c>
      <c r="C1949">
        <v>50</v>
      </c>
      <c r="D1949">
        <v>50</v>
      </c>
    </row>
    <row r="1950" spans="1:4" x14ac:dyDescent="0.3">
      <c r="A1950" t="s">
        <v>1981</v>
      </c>
      <c r="B1950" t="s">
        <v>1985</v>
      </c>
      <c r="C1950">
        <v>250</v>
      </c>
      <c r="D1950">
        <v>220</v>
      </c>
    </row>
    <row r="1951" spans="1:4" x14ac:dyDescent="0.3">
      <c r="A1951" t="s">
        <v>1981</v>
      </c>
      <c r="B1951" t="s">
        <v>1991</v>
      </c>
      <c r="C1951">
        <v>500</v>
      </c>
      <c r="D1951">
        <v>475</v>
      </c>
    </row>
    <row r="1952" spans="1:4" x14ac:dyDescent="0.3">
      <c r="A1952" t="s">
        <v>1981</v>
      </c>
      <c r="B1952" t="s">
        <v>1984</v>
      </c>
      <c r="C1952">
        <v>80</v>
      </c>
      <c r="D1952">
        <v>80</v>
      </c>
    </row>
    <row r="1953" spans="1:4" x14ac:dyDescent="0.3">
      <c r="A1953" t="s">
        <v>1981</v>
      </c>
      <c r="B1953" t="s">
        <v>1989</v>
      </c>
      <c r="C1953">
        <v>150</v>
      </c>
      <c r="D1953">
        <v>140</v>
      </c>
    </row>
    <row r="1954" spans="1:4" x14ac:dyDescent="0.3">
      <c r="A1954" t="s">
        <v>1981</v>
      </c>
      <c r="B1954" t="s">
        <v>1991</v>
      </c>
      <c r="C1954">
        <v>500</v>
      </c>
      <c r="D1954">
        <v>475</v>
      </c>
    </row>
    <row r="1955" spans="1:4" x14ac:dyDescent="0.3">
      <c r="A1955" t="s">
        <v>1981</v>
      </c>
      <c r="B1955" t="s">
        <v>1986</v>
      </c>
      <c r="C1955">
        <v>500</v>
      </c>
      <c r="D1955">
        <v>495</v>
      </c>
    </row>
    <row r="1956" spans="1:4" x14ac:dyDescent="0.3">
      <c r="A1956" t="s">
        <v>1981</v>
      </c>
      <c r="B1956" t="s">
        <v>1949</v>
      </c>
      <c r="C1956">
        <v>700</v>
      </c>
      <c r="D1956">
        <v>665</v>
      </c>
    </row>
    <row r="1957" spans="1:4" x14ac:dyDescent="0.3">
      <c r="A1957" t="s">
        <v>1981</v>
      </c>
      <c r="B1957" t="s">
        <v>1990</v>
      </c>
      <c r="C1957">
        <v>50</v>
      </c>
      <c r="D1957">
        <v>46</v>
      </c>
    </row>
    <row r="1958" spans="1:4" x14ac:dyDescent="0.3">
      <c r="A1958" t="s">
        <v>1981</v>
      </c>
      <c r="B1958" t="s">
        <v>1986</v>
      </c>
      <c r="C1958">
        <v>500</v>
      </c>
      <c r="D1958">
        <v>490</v>
      </c>
    </row>
    <row r="1959" spans="1:4" x14ac:dyDescent="0.3">
      <c r="A1959" t="s">
        <v>1981</v>
      </c>
      <c r="B1959" t="s">
        <v>1991</v>
      </c>
      <c r="C1959">
        <v>500</v>
      </c>
      <c r="D1959">
        <v>485</v>
      </c>
    </row>
    <row r="1960" spans="1:4" x14ac:dyDescent="0.3">
      <c r="A1960" t="s">
        <v>1981</v>
      </c>
      <c r="B1960" t="s">
        <v>1992</v>
      </c>
      <c r="C1960">
        <v>30</v>
      </c>
      <c r="D1960">
        <v>30</v>
      </c>
    </row>
    <row r="1961" spans="1:4" x14ac:dyDescent="0.3">
      <c r="A1961" t="s">
        <v>1981</v>
      </c>
      <c r="B1961" t="s">
        <v>1991</v>
      </c>
      <c r="C1961">
        <v>500</v>
      </c>
      <c r="D1961">
        <v>500</v>
      </c>
    </row>
    <row r="1962" spans="1:4" x14ac:dyDescent="0.3">
      <c r="A1962" t="s">
        <v>1981</v>
      </c>
      <c r="B1962" t="s">
        <v>1985</v>
      </c>
      <c r="C1962">
        <v>250</v>
      </c>
      <c r="D1962">
        <v>243</v>
      </c>
    </row>
    <row r="1963" spans="1:4" x14ac:dyDescent="0.3">
      <c r="A1963" t="s">
        <v>1981</v>
      </c>
      <c r="B1963" t="s">
        <v>1992</v>
      </c>
      <c r="C1963">
        <v>30</v>
      </c>
      <c r="D1963">
        <v>30</v>
      </c>
    </row>
    <row r="1964" spans="1:4" x14ac:dyDescent="0.3">
      <c r="A1964" t="s">
        <v>1981</v>
      </c>
      <c r="B1964" t="s">
        <v>1987</v>
      </c>
      <c r="C1964">
        <v>50</v>
      </c>
      <c r="D1964">
        <v>48</v>
      </c>
    </row>
    <row r="1965" spans="1:4" x14ac:dyDescent="0.3">
      <c r="A1965" t="s">
        <v>1981</v>
      </c>
      <c r="B1965" t="s">
        <v>1988</v>
      </c>
      <c r="C1965">
        <v>70</v>
      </c>
      <c r="D1965">
        <v>67</v>
      </c>
    </row>
    <row r="1966" spans="1:4" x14ac:dyDescent="0.3">
      <c r="A1966" t="s">
        <v>1981</v>
      </c>
      <c r="B1966" t="s">
        <v>1984</v>
      </c>
      <c r="C1966">
        <v>80</v>
      </c>
      <c r="D1966">
        <v>76</v>
      </c>
    </row>
    <row r="1967" spans="1:4" x14ac:dyDescent="0.3">
      <c r="A1967" t="s">
        <v>1981</v>
      </c>
      <c r="B1967" t="s">
        <v>1990</v>
      </c>
      <c r="C1967">
        <v>50</v>
      </c>
      <c r="D1967">
        <v>50</v>
      </c>
    </row>
    <row r="1968" spans="1:4" x14ac:dyDescent="0.3">
      <c r="A1968" t="s">
        <v>1981</v>
      </c>
      <c r="B1968" t="s">
        <v>1984</v>
      </c>
      <c r="C1968">
        <v>80</v>
      </c>
      <c r="D1968">
        <v>80</v>
      </c>
    </row>
    <row r="1969" spans="1:4" x14ac:dyDescent="0.3">
      <c r="A1969" t="s">
        <v>1981</v>
      </c>
      <c r="B1969" t="s">
        <v>1985</v>
      </c>
      <c r="C1969">
        <v>250</v>
      </c>
      <c r="D1969">
        <v>240</v>
      </c>
    </row>
    <row r="1970" spans="1:4" x14ac:dyDescent="0.3">
      <c r="A1970" t="s">
        <v>1981</v>
      </c>
      <c r="B1970" t="s">
        <v>1990</v>
      </c>
      <c r="C1970">
        <v>50</v>
      </c>
      <c r="D1970">
        <v>49</v>
      </c>
    </row>
    <row r="1971" spans="1:4" x14ac:dyDescent="0.3">
      <c r="A1971" t="s">
        <v>1981</v>
      </c>
      <c r="B1971" t="s">
        <v>1989</v>
      </c>
      <c r="C1971">
        <v>150</v>
      </c>
      <c r="D1971">
        <v>150</v>
      </c>
    </row>
    <row r="1972" spans="1:4" x14ac:dyDescent="0.3">
      <c r="A1972" t="s">
        <v>1981</v>
      </c>
      <c r="B1972" t="s">
        <v>1989</v>
      </c>
      <c r="C1972">
        <v>150</v>
      </c>
      <c r="D1972">
        <v>150</v>
      </c>
    </row>
    <row r="1973" spans="1:4" x14ac:dyDescent="0.3">
      <c r="A1973" t="s">
        <v>1981</v>
      </c>
      <c r="B1973" t="s">
        <v>1988</v>
      </c>
      <c r="C1973">
        <v>70</v>
      </c>
      <c r="D1973">
        <v>62</v>
      </c>
    </row>
    <row r="1974" spans="1:4" x14ac:dyDescent="0.3">
      <c r="A1974" t="s">
        <v>1981</v>
      </c>
      <c r="B1974" t="s">
        <v>1991</v>
      </c>
      <c r="C1974">
        <v>500</v>
      </c>
      <c r="D1974">
        <v>425</v>
      </c>
    </row>
    <row r="1975" spans="1:4" x14ac:dyDescent="0.3">
      <c r="A1975" t="s">
        <v>1981</v>
      </c>
      <c r="B1975" t="s">
        <v>1987</v>
      </c>
      <c r="C1975">
        <v>50</v>
      </c>
      <c r="D1975">
        <v>50</v>
      </c>
    </row>
    <row r="1976" spans="1:4" x14ac:dyDescent="0.3">
      <c r="A1976" t="s">
        <v>1981</v>
      </c>
      <c r="B1976" t="s">
        <v>1984</v>
      </c>
      <c r="C1976">
        <v>80</v>
      </c>
      <c r="D1976">
        <v>76</v>
      </c>
    </row>
    <row r="1977" spans="1:4" x14ac:dyDescent="0.3">
      <c r="A1977" t="s">
        <v>1981</v>
      </c>
      <c r="B1977" t="s">
        <v>1991</v>
      </c>
      <c r="C1977">
        <v>500</v>
      </c>
      <c r="D1977">
        <v>485</v>
      </c>
    </row>
    <row r="1978" spans="1:4" x14ac:dyDescent="0.3">
      <c r="A1978" t="s">
        <v>1981</v>
      </c>
      <c r="B1978" t="s">
        <v>1991</v>
      </c>
      <c r="C1978">
        <v>500</v>
      </c>
      <c r="D1978">
        <v>455</v>
      </c>
    </row>
    <row r="1979" spans="1:4" x14ac:dyDescent="0.3">
      <c r="A1979" t="s">
        <v>1981</v>
      </c>
      <c r="B1979" t="s">
        <v>1990</v>
      </c>
      <c r="C1979">
        <v>50</v>
      </c>
      <c r="D1979">
        <v>48</v>
      </c>
    </row>
    <row r="1980" spans="1:4" x14ac:dyDescent="0.3">
      <c r="A1980" t="s">
        <v>1981</v>
      </c>
      <c r="B1980" t="s">
        <v>1991</v>
      </c>
      <c r="C1980">
        <v>500</v>
      </c>
      <c r="D1980">
        <v>480</v>
      </c>
    </row>
    <row r="1981" spans="1:4" x14ac:dyDescent="0.3">
      <c r="A1981" t="s">
        <v>1981</v>
      </c>
      <c r="B1981" t="s">
        <v>1985</v>
      </c>
      <c r="C1981">
        <v>250</v>
      </c>
      <c r="D1981">
        <v>238</v>
      </c>
    </row>
    <row r="1982" spans="1:4" x14ac:dyDescent="0.3">
      <c r="A1982" t="s">
        <v>1981</v>
      </c>
      <c r="B1982" t="s">
        <v>1989</v>
      </c>
      <c r="C1982">
        <v>150</v>
      </c>
      <c r="D1982">
        <v>126</v>
      </c>
    </row>
    <row r="1983" spans="1:4" x14ac:dyDescent="0.3">
      <c r="A1983" t="s">
        <v>1981</v>
      </c>
      <c r="B1983" t="s">
        <v>1950</v>
      </c>
      <c r="C1983">
        <v>1000</v>
      </c>
      <c r="D1983">
        <v>620</v>
      </c>
    </row>
    <row r="1984" spans="1:4" x14ac:dyDescent="0.3">
      <c r="A1984" t="s">
        <v>1981</v>
      </c>
      <c r="B1984" t="s">
        <v>1987</v>
      </c>
      <c r="C1984">
        <v>50</v>
      </c>
      <c r="D1984">
        <v>49</v>
      </c>
    </row>
    <row r="1985" spans="1:4" x14ac:dyDescent="0.3">
      <c r="A1985" t="s">
        <v>1981</v>
      </c>
      <c r="B1985" t="s">
        <v>1989</v>
      </c>
      <c r="C1985">
        <v>150</v>
      </c>
      <c r="D1985">
        <v>146</v>
      </c>
    </row>
    <row r="1986" spans="1:4" x14ac:dyDescent="0.3">
      <c r="A1986" t="s">
        <v>1981</v>
      </c>
      <c r="B1986" t="s">
        <v>1985</v>
      </c>
      <c r="C1986">
        <v>250</v>
      </c>
      <c r="D1986">
        <v>248</v>
      </c>
    </row>
    <row r="1987" spans="1:4" x14ac:dyDescent="0.3">
      <c r="A1987" t="s">
        <v>1981</v>
      </c>
      <c r="B1987" t="s">
        <v>1989</v>
      </c>
      <c r="C1987">
        <v>150</v>
      </c>
      <c r="D1987">
        <v>149</v>
      </c>
    </row>
    <row r="1988" spans="1:4" x14ac:dyDescent="0.3">
      <c r="A1988" t="s">
        <v>1981</v>
      </c>
      <c r="B1988" t="s">
        <v>1990</v>
      </c>
      <c r="C1988">
        <v>50</v>
      </c>
      <c r="D1988">
        <v>39</v>
      </c>
    </row>
    <row r="1989" spans="1:4" x14ac:dyDescent="0.3">
      <c r="A1989" t="s">
        <v>1981</v>
      </c>
      <c r="B1989" t="s">
        <v>1985</v>
      </c>
      <c r="C1989">
        <v>250</v>
      </c>
      <c r="D1989">
        <v>238</v>
      </c>
    </row>
    <row r="1990" spans="1:4" x14ac:dyDescent="0.3">
      <c r="A1990" t="s">
        <v>1981</v>
      </c>
      <c r="B1990" t="s">
        <v>1984</v>
      </c>
      <c r="C1990">
        <v>80</v>
      </c>
      <c r="D1990">
        <v>58</v>
      </c>
    </row>
    <row r="1991" spans="1:4" x14ac:dyDescent="0.3">
      <c r="A1991" t="s">
        <v>1981</v>
      </c>
      <c r="B1991" t="s">
        <v>1987</v>
      </c>
      <c r="C1991">
        <v>50</v>
      </c>
      <c r="D1991">
        <v>31</v>
      </c>
    </row>
    <row r="1992" spans="1:4" x14ac:dyDescent="0.3">
      <c r="A1992" t="s">
        <v>1981</v>
      </c>
      <c r="B1992" t="s">
        <v>1986</v>
      </c>
      <c r="C1992">
        <v>500</v>
      </c>
      <c r="D1992">
        <v>500</v>
      </c>
    </row>
    <row r="1993" spans="1:4" x14ac:dyDescent="0.3">
      <c r="A1993" t="s">
        <v>1981</v>
      </c>
      <c r="B1993" t="s">
        <v>1992</v>
      </c>
      <c r="C1993">
        <v>30</v>
      </c>
      <c r="D1993">
        <v>24</v>
      </c>
    </row>
    <row r="1994" spans="1:4" x14ac:dyDescent="0.3">
      <c r="A1994" t="s">
        <v>1981</v>
      </c>
      <c r="B1994" t="s">
        <v>1986</v>
      </c>
      <c r="C1994">
        <v>500</v>
      </c>
      <c r="D1994">
        <v>500</v>
      </c>
    </row>
    <row r="1995" spans="1:4" x14ac:dyDescent="0.3">
      <c r="A1995" t="s">
        <v>1981</v>
      </c>
      <c r="B1995" t="s">
        <v>1949</v>
      </c>
      <c r="C1995">
        <v>700</v>
      </c>
      <c r="D1995">
        <v>553</v>
      </c>
    </row>
    <row r="1996" spans="1:4" x14ac:dyDescent="0.3">
      <c r="A1996" t="s">
        <v>1981</v>
      </c>
      <c r="B1996" t="s">
        <v>1987</v>
      </c>
      <c r="C1996">
        <v>50</v>
      </c>
      <c r="D1996">
        <v>48</v>
      </c>
    </row>
    <row r="1997" spans="1:4" x14ac:dyDescent="0.3">
      <c r="A1997" t="s">
        <v>1981</v>
      </c>
      <c r="B1997" t="s">
        <v>1948</v>
      </c>
      <c r="C1997">
        <v>800</v>
      </c>
      <c r="D1997">
        <v>592</v>
      </c>
    </row>
    <row r="1998" spans="1:4" x14ac:dyDescent="0.3">
      <c r="A1998" t="s">
        <v>1981</v>
      </c>
      <c r="B1998" t="s">
        <v>1984</v>
      </c>
      <c r="C1998">
        <v>80</v>
      </c>
      <c r="D1998">
        <v>78</v>
      </c>
    </row>
    <row r="1999" spans="1:4" x14ac:dyDescent="0.3">
      <c r="A1999" t="s">
        <v>1981</v>
      </c>
      <c r="B1999" t="s">
        <v>1992</v>
      </c>
      <c r="C1999">
        <v>30</v>
      </c>
      <c r="D1999">
        <v>30</v>
      </c>
    </row>
    <row r="2000" spans="1:4" x14ac:dyDescent="0.3">
      <c r="A2000" t="s">
        <v>1981</v>
      </c>
      <c r="B2000" t="s">
        <v>1988</v>
      </c>
      <c r="C2000">
        <v>70</v>
      </c>
      <c r="D2000">
        <v>70</v>
      </c>
    </row>
    <row r="2001" spans="1:4" x14ac:dyDescent="0.3">
      <c r="A2001" t="s">
        <v>1981</v>
      </c>
      <c r="B2001" t="s">
        <v>1987</v>
      </c>
      <c r="C2001">
        <v>50</v>
      </c>
      <c r="D2001">
        <v>43</v>
      </c>
    </row>
    <row r="2002" spans="1:4" x14ac:dyDescent="0.3">
      <c r="A2002" t="s">
        <v>1981</v>
      </c>
      <c r="B2002" t="s">
        <v>1986</v>
      </c>
      <c r="C2002">
        <v>500</v>
      </c>
      <c r="D2002">
        <v>500</v>
      </c>
    </row>
    <row r="2003" spans="1:4" x14ac:dyDescent="0.3">
      <c r="A2003" t="s">
        <v>1981</v>
      </c>
      <c r="B2003" t="s">
        <v>1948</v>
      </c>
      <c r="C2003">
        <v>800</v>
      </c>
      <c r="D2003">
        <v>488</v>
      </c>
    </row>
    <row r="2004" spans="1:4" x14ac:dyDescent="0.3">
      <c r="A2004" t="s">
        <v>1981</v>
      </c>
      <c r="B2004" t="s">
        <v>1992</v>
      </c>
      <c r="C2004">
        <v>30</v>
      </c>
      <c r="D2004">
        <v>29</v>
      </c>
    </row>
    <row r="2005" spans="1:4" x14ac:dyDescent="0.3">
      <c r="A2005" t="s">
        <v>1981</v>
      </c>
      <c r="B2005" t="s">
        <v>1986</v>
      </c>
      <c r="C2005">
        <v>500</v>
      </c>
      <c r="D2005">
        <v>500</v>
      </c>
    </row>
    <row r="2006" spans="1:4" x14ac:dyDescent="0.3">
      <c r="A2006" t="s">
        <v>1981</v>
      </c>
      <c r="B2006" t="s">
        <v>1984</v>
      </c>
      <c r="C2006">
        <v>80</v>
      </c>
      <c r="D2006">
        <v>79</v>
      </c>
    </row>
    <row r="2007" spans="1:4" x14ac:dyDescent="0.3">
      <c r="A2007" t="s">
        <v>1981</v>
      </c>
      <c r="B2007" t="s">
        <v>1985</v>
      </c>
      <c r="C2007">
        <v>250</v>
      </c>
      <c r="D2007">
        <v>223</v>
      </c>
    </row>
    <row r="2008" spans="1:4" x14ac:dyDescent="0.3">
      <c r="A2008" t="s">
        <v>1981</v>
      </c>
      <c r="B2008" t="s">
        <v>1988</v>
      </c>
      <c r="C2008">
        <v>70</v>
      </c>
      <c r="D2008">
        <v>69</v>
      </c>
    </row>
    <row r="2009" spans="1:4" x14ac:dyDescent="0.3">
      <c r="A2009" t="s">
        <v>1981</v>
      </c>
      <c r="B2009" t="s">
        <v>1992</v>
      </c>
      <c r="C2009">
        <v>30</v>
      </c>
      <c r="D2009">
        <v>29</v>
      </c>
    </row>
    <row r="2010" spans="1:4" x14ac:dyDescent="0.3">
      <c r="A2010" t="s">
        <v>1981</v>
      </c>
      <c r="B2010" t="s">
        <v>1984</v>
      </c>
      <c r="C2010">
        <v>80</v>
      </c>
      <c r="D2010">
        <v>61</v>
      </c>
    </row>
    <row r="2011" spans="1:4" x14ac:dyDescent="0.3">
      <c r="A2011" t="s">
        <v>1981</v>
      </c>
      <c r="B2011" t="s">
        <v>1989</v>
      </c>
      <c r="C2011">
        <v>150</v>
      </c>
      <c r="D2011">
        <v>141</v>
      </c>
    </row>
    <row r="2012" spans="1:4" x14ac:dyDescent="0.3">
      <c r="A2012" t="s">
        <v>1982</v>
      </c>
      <c r="B2012" t="s">
        <v>1988</v>
      </c>
      <c r="C2012">
        <v>70</v>
      </c>
      <c r="D2012">
        <v>69</v>
      </c>
    </row>
    <row r="2013" spans="1:4" x14ac:dyDescent="0.3">
      <c r="A2013" t="s">
        <v>1982</v>
      </c>
      <c r="B2013" t="s">
        <v>1991</v>
      </c>
      <c r="C2013">
        <v>500</v>
      </c>
      <c r="D2013">
        <v>450</v>
      </c>
    </row>
    <row r="2014" spans="1:4" x14ac:dyDescent="0.3">
      <c r="A2014" t="s">
        <v>1982</v>
      </c>
      <c r="B2014" t="s">
        <v>1987</v>
      </c>
      <c r="C2014">
        <v>50</v>
      </c>
      <c r="D2014">
        <v>45</v>
      </c>
    </row>
    <row r="2015" spans="1:4" x14ac:dyDescent="0.3">
      <c r="A2015" t="s">
        <v>1982</v>
      </c>
      <c r="B2015" t="s">
        <v>1990</v>
      </c>
      <c r="C2015">
        <v>50</v>
      </c>
      <c r="D2015">
        <v>43</v>
      </c>
    </row>
    <row r="2016" spans="1:4" x14ac:dyDescent="0.3">
      <c r="A2016" t="s">
        <v>1982</v>
      </c>
      <c r="B2016" t="s">
        <v>1992</v>
      </c>
      <c r="C2016">
        <v>30</v>
      </c>
      <c r="D2016">
        <v>29</v>
      </c>
    </row>
    <row r="2017" spans="1:4" x14ac:dyDescent="0.3">
      <c r="A2017" t="s">
        <v>1982</v>
      </c>
      <c r="B2017" t="s">
        <v>1992</v>
      </c>
      <c r="C2017">
        <v>30</v>
      </c>
      <c r="D2017">
        <v>28</v>
      </c>
    </row>
    <row r="2018" spans="1:4" x14ac:dyDescent="0.3">
      <c r="A2018" t="s">
        <v>1982</v>
      </c>
      <c r="B2018" t="s">
        <v>1992</v>
      </c>
      <c r="C2018">
        <v>30</v>
      </c>
      <c r="D2018">
        <v>27</v>
      </c>
    </row>
    <row r="2019" spans="1:4" x14ac:dyDescent="0.3">
      <c r="A2019" t="s">
        <v>1982</v>
      </c>
      <c r="B2019" t="s">
        <v>1950</v>
      </c>
      <c r="C2019">
        <v>1000</v>
      </c>
      <c r="D2019">
        <v>650</v>
      </c>
    </row>
    <row r="2020" spans="1:4" x14ac:dyDescent="0.3">
      <c r="A2020" t="s">
        <v>1982</v>
      </c>
      <c r="B2020" t="s">
        <v>1992</v>
      </c>
      <c r="C2020">
        <v>30</v>
      </c>
      <c r="D2020">
        <v>26</v>
      </c>
    </row>
    <row r="2021" spans="1:4" x14ac:dyDescent="0.3">
      <c r="A2021" t="s">
        <v>1982</v>
      </c>
      <c r="B2021" t="s">
        <v>1992</v>
      </c>
      <c r="C2021">
        <v>30</v>
      </c>
      <c r="D2021">
        <v>29</v>
      </c>
    </row>
    <row r="2022" spans="1:4" x14ac:dyDescent="0.3">
      <c r="A2022" t="s">
        <v>1982</v>
      </c>
      <c r="B2022" t="s">
        <v>1992</v>
      </c>
      <c r="C2022">
        <v>30</v>
      </c>
      <c r="D2022">
        <v>29</v>
      </c>
    </row>
    <row r="2023" spans="1:4" x14ac:dyDescent="0.3">
      <c r="A2023" t="s">
        <v>1982</v>
      </c>
      <c r="B2023" t="s">
        <v>1986</v>
      </c>
      <c r="C2023">
        <v>500</v>
      </c>
      <c r="D2023">
        <v>495</v>
      </c>
    </row>
    <row r="2024" spans="1:4" x14ac:dyDescent="0.3">
      <c r="A2024" t="s">
        <v>1982</v>
      </c>
      <c r="B2024" t="s">
        <v>1990</v>
      </c>
      <c r="C2024">
        <v>50</v>
      </c>
      <c r="D2024">
        <v>45</v>
      </c>
    </row>
    <row r="2025" spans="1:4" x14ac:dyDescent="0.3">
      <c r="A2025" t="s">
        <v>1982</v>
      </c>
      <c r="B2025" t="s">
        <v>1991</v>
      </c>
      <c r="C2025">
        <v>500</v>
      </c>
      <c r="D2025">
        <v>485</v>
      </c>
    </row>
    <row r="2026" spans="1:4" x14ac:dyDescent="0.3">
      <c r="A2026" t="s">
        <v>1982</v>
      </c>
      <c r="B2026" t="s">
        <v>1987</v>
      </c>
      <c r="C2026">
        <v>50</v>
      </c>
      <c r="D2026">
        <v>48</v>
      </c>
    </row>
    <row r="2027" spans="1:4" x14ac:dyDescent="0.3">
      <c r="A2027" t="s">
        <v>1982</v>
      </c>
      <c r="B2027" t="s">
        <v>1986</v>
      </c>
      <c r="C2027">
        <v>500</v>
      </c>
      <c r="D2027">
        <v>490</v>
      </c>
    </row>
    <row r="2028" spans="1:4" x14ac:dyDescent="0.3">
      <c r="A2028" t="s">
        <v>1982</v>
      </c>
      <c r="B2028" t="s">
        <v>1986</v>
      </c>
      <c r="C2028">
        <v>500</v>
      </c>
      <c r="D2028">
        <v>500</v>
      </c>
    </row>
    <row r="2029" spans="1:4" x14ac:dyDescent="0.3">
      <c r="A2029" t="s">
        <v>1982</v>
      </c>
      <c r="B2029" t="s">
        <v>1948</v>
      </c>
      <c r="C2029">
        <v>800</v>
      </c>
      <c r="D2029">
        <v>544</v>
      </c>
    </row>
    <row r="2030" spans="1:4" x14ac:dyDescent="0.3">
      <c r="A2030" t="s">
        <v>1982</v>
      </c>
      <c r="B2030" t="s">
        <v>1985</v>
      </c>
      <c r="C2030">
        <v>250</v>
      </c>
      <c r="D2030">
        <v>248</v>
      </c>
    </row>
    <row r="2031" spans="1:4" x14ac:dyDescent="0.3">
      <c r="A2031" t="s">
        <v>1982</v>
      </c>
      <c r="B2031" t="s">
        <v>1949</v>
      </c>
      <c r="C2031">
        <v>700</v>
      </c>
      <c r="D2031">
        <v>672</v>
      </c>
    </row>
    <row r="2032" spans="1:4" x14ac:dyDescent="0.3">
      <c r="A2032" t="s">
        <v>1982</v>
      </c>
      <c r="B2032" t="s">
        <v>1985</v>
      </c>
      <c r="C2032">
        <v>250</v>
      </c>
      <c r="D2032">
        <v>218</v>
      </c>
    </row>
    <row r="2033" spans="1:4" x14ac:dyDescent="0.3">
      <c r="A2033" t="s">
        <v>1982</v>
      </c>
      <c r="B2033" t="s">
        <v>1990</v>
      </c>
      <c r="C2033">
        <v>50</v>
      </c>
      <c r="D2033">
        <v>43</v>
      </c>
    </row>
    <row r="2034" spans="1:4" x14ac:dyDescent="0.3">
      <c r="A2034" t="s">
        <v>1982</v>
      </c>
      <c r="B2034" t="s">
        <v>1987</v>
      </c>
      <c r="C2034">
        <v>50</v>
      </c>
      <c r="D2034">
        <v>46</v>
      </c>
    </row>
    <row r="2035" spans="1:4" x14ac:dyDescent="0.3">
      <c r="A2035" t="s">
        <v>1982</v>
      </c>
      <c r="B2035" t="s">
        <v>1989</v>
      </c>
      <c r="C2035">
        <v>150</v>
      </c>
      <c r="D2035">
        <v>147</v>
      </c>
    </row>
    <row r="2036" spans="1:4" x14ac:dyDescent="0.3">
      <c r="A2036" t="s">
        <v>1982</v>
      </c>
      <c r="B2036" t="s">
        <v>1989</v>
      </c>
      <c r="C2036">
        <v>150</v>
      </c>
      <c r="D2036">
        <v>128</v>
      </c>
    </row>
    <row r="2037" spans="1:4" x14ac:dyDescent="0.3">
      <c r="A2037" t="s">
        <v>1982</v>
      </c>
      <c r="B2037" t="s">
        <v>1986</v>
      </c>
      <c r="C2037">
        <v>500</v>
      </c>
      <c r="D2037">
        <v>495</v>
      </c>
    </row>
    <row r="2038" spans="1:4" x14ac:dyDescent="0.3">
      <c r="A2038" t="s">
        <v>1982</v>
      </c>
      <c r="B2038" t="s">
        <v>1987</v>
      </c>
      <c r="C2038">
        <v>50</v>
      </c>
      <c r="D2038">
        <v>48</v>
      </c>
    </row>
    <row r="2039" spans="1:4" x14ac:dyDescent="0.3">
      <c r="A2039" t="s">
        <v>1982</v>
      </c>
      <c r="B2039" t="s">
        <v>1986</v>
      </c>
      <c r="C2039">
        <v>500</v>
      </c>
      <c r="D2039">
        <v>500</v>
      </c>
    </row>
    <row r="2040" spans="1:4" x14ac:dyDescent="0.3">
      <c r="A2040" t="s">
        <v>1982</v>
      </c>
      <c r="B2040" t="s">
        <v>1992</v>
      </c>
      <c r="C2040">
        <v>30</v>
      </c>
      <c r="D2040">
        <v>29</v>
      </c>
    </row>
    <row r="2041" spans="1:4" x14ac:dyDescent="0.3">
      <c r="A2041" t="s">
        <v>1982</v>
      </c>
      <c r="B2041" t="s">
        <v>1989</v>
      </c>
      <c r="C2041">
        <v>150</v>
      </c>
      <c r="D2041">
        <v>147</v>
      </c>
    </row>
    <row r="2042" spans="1:4" x14ac:dyDescent="0.3">
      <c r="A2042" t="s">
        <v>1982</v>
      </c>
      <c r="B2042" t="s">
        <v>1986</v>
      </c>
      <c r="C2042">
        <v>500</v>
      </c>
      <c r="D2042">
        <v>495</v>
      </c>
    </row>
    <row r="2043" spans="1:4" x14ac:dyDescent="0.3">
      <c r="A2043" t="s">
        <v>1982</v>
      </c>
      <c r="B2043" t="s">
        <v>1992</v>
      </c>
      <c r="C2043">
        <v>30</v>
      </c>
      <c r="D2043">
        <v>29</v>
      </c>
    </row>
    <row r="2044" spans="1:4" x14ac:dyDescent="0.3">
      <c r="A2044" t="s">
        <v>1982</v>
      </c>
      <c r="B2044" t="s">
        <v>1988</v>
      </c>
      <c r="C2044">
        <v>70</v>
      </c>
      <c r="D2044">
        <v>69</v>
      </c>
    </row>
    <row r="2045" spans="1:4" x14ac:dyDescent="0.3">
      <c r="A2045" t="s">
        <v>1982</v>
      </c>
      <c r="B2045" t="s">
        <v>1948</v>
      </c>
      <c r="C2045">
        <v>800</v>
      </c>
      <c r="D2045">
        <v>552</v>
      </c>
    </row>
    <row r="2046" spans="1:4" x14ac:dyDescent="0.3">
      <c r="A2046" t="s">
        <v>1982</v>
      </c>
      <c r="B2046" t="s">
        <v>1985</v>
      </c>
      <c r="C2046">
        <v>250</v>
      </c>
      <c r="D2046">
        <v>245</v>
      </c>
    </row>
    <row r="2047" spans="1:4" x14ac:dyDescent="0.3">
      <c r="A2047" t="s">
        <v>1982</v>
      </c>
      <c r="B2047" t="s">
        <v>1949</v>
      </c>
      <c r="C2047">
        <v>700</v>
      </c>
      <c r="D2047">
        <v>637</v>
      </c>
    </row>
    <row r="2048" spans="1:4" x14ac:dyDescent="0.3">
      <c r="A2048" t="s">
        <v>1982</v>
      </c>
      <c r="B2048" t="s">
        <v>1984</v>
      </c>
      <c r="C2048">
        <v>80</v>
      </c>
      <c r="D2048">
        <v>73</v>
      </c>
    </row>
    <row r="2049" spans="1:4" x14ac:dyDescent="0.3">
      <c r="A2049" t="s">
        <v>1982</v>
      </c>
      <c r="B2049" t="s">
        <v>1987</v>
      </c>
      <c r="C2049">
        <v>50</v>
      </c>
      <c r="D2049">
        <v>46</v>
      </c>
    </row>
    <row r="2050" spans="1:4" x14ac:dyDescent="0.3">
      <c r="A2050" t="s">
        <v>1982</v>
      </c>
      <c r="B2050" t="s">
        <v>1988</v>
      </c>
      <c r="C2050">
        <v>70</v>
      </c>
      <c r="D2050">
        <v>63</v>
      </c>
    </row>
    <row r="2051" spans="1:4" x14ac:dyDescent="0.3">
      <c r="A2051" t="s">
        <v>1982</v>
      </c>
      <c r="B2051" t="s">
        <v>1987</v>
      </c>
      <c r="C2051">
        <v>50</v>
      </c>
      <c r="D2051">
        <v>48</v>
      </c>
    </row>
    <row r="2052" spans="1:4" x14ac:dyDescent="0.3">
      <c r="A2052" t="s">
        <v>1982</v>
      </c>
      <c r="B2052" t="s">
        <v>1949</v>
      </c>
      <c r="C2052">
        <v>700</v>
      </c>
      <c r="D2052">
        <v>658</v>
      </c>
    </row>
    <row r="2053" spans="1:4" x14ac:dyDescent="0.3">
      <c r="A2053" t="s">
        <v>1982</v>
      </c>
      <c r="B2053" t="s">
        <v>1950</v>
      </c>
      <c r="C2053">
        <v>1000</v>
      </c>
      <c r="D2053">
        <v>670</v>
      </c>
    </row>
    <row r="2054" spans="1:4" x14ac:dyDescent="0.3">
      <c r="A2054" t="s">
        <v>1982</v>
      </c>
      <c r="B2054" t="s">
        <v>1950</v>
      </c>
      <c r="C2054">
        <v>1000</v>
      </c>
      <c r="D2054">
        <v>640</v>
      </c>
    </row>
    <row r="2055" spans="1:4" x14ac:dyDescent="0.3">
      <c r="A2055" t="s">
        <v>1982</v>
      </c>
      <c r="B2055" t="s">
        <v>1988</v>
      </c>
      <c r="C2055">
        <v>70</v>
      </c>
      <c r="D2055">
        <v>60</v>
      </c>
    </row>
    <row r="2056" spans="1:4" x14ac:dyDescent="0.3">
      <c r="A2056" t="s">
        <v>1982</v>
      </c>
      <c r="B2056" t="s">
        <v>1986</v>
      </c>
      <c r="C2056">
        <v>500</v>
      </c>
      <c r="D2056">
        <v>500</v>
      </c>
    </row>
    <row r="2057" spans="1:4" x14ac:dyDescent="0.3">
      <c r="A2057" t="s">
        <v>1982</v>
      </c>
      <c r="B2057" t="s">
        <v>1948</v>
      </c>
      <c r="C2057">
        <v>800</v>
      </c>
      <c r="D2057">
        <v>560</v>
      </c>
    </row>
    <row r="2058" spans="1:4" x14ac:dyDescent="0.3">
      <c r="A2058" t="s">
        <v>1982</v>
      </c>
      <c r="B2058" t="s">
        <v>1988</v>
      </c>
      <c r="C2058">
        <v>70</v>
      </c>
      <c r="D2058">
        <v>67</v>
      </c>
    </row>
    <row r="2059" spans="1:4" x14ac:dyDescent="0.3">
      <c r="A2059" t="s">
        <v>1982</v>
      </c>
      <c r="B2059" t="s">
        <v>1988</v>
      </c>
      <c r="C2059">
        <v>70</v>
      </c>
      <c r="D2059">
        <v>67</v>
      </c>
    </row>
    <row r="2060" spans="1:4" x14ac:dyDescent="0.3">
      <c r="A2060" t="s">
        <v>1982</v>
      </c>
      <c r="B2060" t="s">
        <v>1984</v>
      </c>
      <c r="C2060">
        <v>80</v>
      </c>
      <c r="D2060">
        <v>80</v>
      </c>
    </row>
    <row r="2061" spans="1:4" x14ac:dyDescent="0.3">
      <c r="A2061" t="s">
        <v>1982</v>
      </c>
      <c r="B2061" t="s">
        <v>1987</v>
      </c>
      <c r="C2061">
        <v>50</v>
      </c>
      <c r="D2061">
        <v>49</v>
      </c>
    </row>
    <row r="2062" spans="1:4" x14ac:dyDescent="0.3">
      <c r="A2062" t="s">
        <v>1982</v>
      </c>
      <c r="B2062" t="s">
        <v>1990</v>
      </c>
      <c r="C2062">
        <v>50</v>
      </c>
      <c r="D2062">
        <v>48</v>
      </c>
    </row>
    <row r="2063" spans="1:4" x14ac:dyDescent="0.3">
      <c r="A2063" t="s">
        <v>1982</v>
      </c>
      <c r="B2063" t="s">
        <v>1948</v>
      </c>
      <c r="C2063">
        <v>800</v>
      </c>
      <c r="D2063">
        <v>616</v>
      </c>
    </row>
    <row r="2064" spans="1:4" x14ac:dyDescent="0.3">
      <c r="A2064" t="s">
        <v>1982</v>
      </c>
      <c r="B2064" t="s">
        <v>1986</v>
      </c>
      <c r="C2064">
        <v>500</v>
      </c>
      <c r="D2064">
        <v>490</v>
      </c>
    </row>
    <row r="2065" spans="1:4" x14ac:dyDescent="0.3">
      <c r="A2065" t="s">
        <v>1982</v>
      </c>
      <c r="B2065" t="s">
        <v>1948</v>
      </c>
      <c r="C2065">
        <v>800</v>
      </c>
      <c r="D2065">
        <v>464</v>
      </c>
    </row>
    <row r="2066" spans="1:4" x14ac:dyDescent="0.3">
      <c r="A2066" t="s">
        <v>1982</v>
      </c>
      <c r="B2066" t="s">
        <v>1986</v>
      </c>
      <c r="C2066">
        <v>500</v>
      </c>
      <c r="D2066">
        <v>490</v>
      </c>
    </row>
    <row r="2067" spans="1:4" x14ac:dyDescent="0.3">
      <c r="A2067" t="s">
        <v>1982</v>
      </c>
      <c r="B2067" t="s">
        <v>1989</v>
      </c>
      <c r="C2067">
        <v>150</v>
      </c>
      <c r="D2067">
        <v>137</v>
      </c>
    </row>
    <row r="2068" spans="1:4" x14ac:dyDescent="0.3">
      <c r="A2068" t="s">
        <v>1982</v>
      </c>
      <c r="B2068" t="s">
        <v>1949</v>
      </c>
      <c r="C2068">
        <v>700</v>
      </c>
      <c r="D2068">
        <v>602</v>
      </c>
    </row>
    <row r="2069" spans="1:4" x14ac:dyDescent="0.3">
      <c r="A2069" t="s">
        <v>1982</v>
      </c>
      <c r="B2069" t="s">
        <v>1989</v>
      </c>
      <c r="C2069">
        <v>150</v>
      </c>
      <c r="D2069">
        <v>147</v>
      </c>
    </row>
    <row r="2070" spans="1:4" x14ac:dyDescent="0.3">
      <c r="A2070" t="s">
        <v>1982</v>
      </c>
      <c r="B2070" t="s">
        <v>1992</v>
      </c>
      <c r="C2070">
        <v>30</v>
      </c>
      <c r="D2070">
        <v>27</v>
      </c>
    </row>
    <row r="2071" spans="1:4" x14ac:dyDescent="0.3">
      <c r="A2071" t="s">
        <v>1982</v>
      </c>
      <c r="B2071" t="s">
        <v>1987</v>
      </c>
      <c r="C2071">
        <v>50</v>
      </c>
      <c r="D2071">
        <v>45</v>
      </c>
    </row>
    <row r="2072" spans="1:4" x14ac:dyDescent="0.3">
      <c r="A2072" t="s">
        <v>1982</v>
      </c>
      <c r="B2072" t="s">
        <v>1992</v>
      </c>
      <c r="C2072">
        <v>30</v>
      </c>
      <c r="D2072">
        <v>30</v>
      </c>
    </row>
    <row r="2073" spans="1:4" x14ac:dyDescent="0.3">
      <c r="A2073" t="s">
        <v>1982</v>
      </c>
      <c r="B2073" t="s">
        <v>1987</v>
      </c>
      <c r="C2073">
        <v>50</v>
      </c>
      <c r="D2073">
        <v>50</v>
      </c>
    </row>
    <row r="2074" spans="1:4" x14ac:dyDescent="0.3">
      <c r="A2074" t="s">
        <v>1982</v>
      </c>
      <c r="B2074" t="s">
        <v>1986</v>
      </c>
      <c r="C2074">
        <v>500</v>
      </c>
      <c r="D2074">
        <v>500</v>
      </c>
    </row>
    <row r="2075" spans="1:4" x14ac:dyDescent="0.3">
      <c r="A2075" t="s">
        <v>1982</v>
      </c>
      <c r="B2075" t="s">
        <v>1991</v>
      </c>
      <c r="C2075">
        <v>500</v>
      </c>
      <c r="D2075">
        <v>495</v>
      </c>
    </row>
    <row r="2076" spans="1:4" x14ac:dyDescent="0.3">
      <c r="A2076" t="s">
        <v>1982</v>
      </c>
      <c r="B2076" t="s">
        <v>1949</v>
      </c>
      <c r="C2076">
        <v>700</v>
      </c>
      <c r="D2076">
        <v>609</v>
      </c>
    </row>
    <row r="2077" spans="1:4" x14ac:dyDescent="0.3">
      <c r="A2077" t="s">
        <v>1982</v>
      </c>
      <c r="B2077" t="s">
        <v>1986</v>
      </c>
      <c r="C2077">
        <v>500</v>
      </c>
      <c r="D2077">
        <v>495</v>
      </c>
    </row>
    <row r="2078" spans="1:4" x14ac:dyDescent="0.3">
      <c r="A2078" t="s">
        <v>1982</v>
      </c>
      <c r="B2078" t="s">
        <v>1989</v>
      </c>
      <c r="C2078">
        <v>150</v>
      </c>
      <c r="D2078">
        <v>128</v>
      </c>
    </row>
    <row r="2079" spans="1:4" x14ac:dyDescent="0.3">
      <c r="A2079" t="s">
        <v>1982</v>
      </c>
      <c r="B2079" t="s">
        <v>1986</v>
      </c>
      <c r="C2079">
        <v>500</v>
      </c>
      <c r="D2079">
        <v>495</v>
      </c>
    </row>
    <row r="2080" spans="1:4" x14ac:dyDescent="0.3">
      <c r="A2080" t="s">
        <v>1982</v>
      </c>
      <c r="B2080" t="s">
        <v>1986</v>
      </c>
      <c r="C2080">
        <v>500</v>
      </c>
      <c r="D2080">
        <v>500</v>
      </c>
    </row>
    <row r="2081" spans="1:4" x14ac:dyDescent="0.3">
      <c r="A2081" t="s">
        <v>1982</v>
      </c>
      <c r="B2081" t="s">
        <v>1992</v>
      </c>
      <c r="C2081">
        <v>30</v>
      </c>
      <c r="D2081">
        <v>26</v>
      </c>
    </row>
    <row r="2082" spans="1:4" x14ac:dyDescent="0.3">
      <c r="A2082" t="s">
        <v>1982</v>
      </c>
      <c r="B2082" t="s">
        <v>1948</v>
      </c>
      <c r="C2082">
        <v>800</v>
      </c>
      <c r="D2082">
        <v>632</v>
      </c>
    </row>
    <row r="2083" spans="1:4" x14ac:dyDescent="0.3">
      <c r="A2083" t="s">
        <v>1982</v>
      </c>
      <c r="B2083" t="s">
        <v>1992</v>
      </c>
      <c r="C2083">
        <v>30</v>
      </c>
      <c r="D2083">
        <v>29</v>
      </c>
    </row>
    <row r="2084" spans="1:4" x14ac:dyDescent="0.3">
      <c r="A2084" t="s">
        <v>1982</v>
      </c>
      <c r="B2084" t="s">
        <v>1991</v>
      </c>
      <c r="C2084">
        <v>500</v>
      </c>
      <c r="D2084">
        <v>470</v>
      </c>
    </row>
    <row r="2085" spans="1:4" x14ac:dyDescent="0.3">
      <c r="A2085" t="s">
        <v>1982</v>
      </c>
      <c r="B2085" t="s">
        <v>1988</v>
      </c>
      <c r="C2085">
        <v>70</v>
      </c>
      <c r="D2085">
        <v>68</v>
      </c>
    </row>
    <row r="2086" spans="1:4" x14ac:dyDescent="0.3">
      <c r="A2086" t="s">
        <v>1982</v>
      </c>
      <c r="B2086" t="s">
        <v>1990</v>
      </c>
      <c r="C2086">
        <v>50</v>
      </c>
      <c r="D2086">
        <v>48</v>
      </c>
    </row>
    <row r="2087" spans="1:4" x14ac:dyDescent="0.3">
      <c r="A2087" t="s">
        <v>1982</v>
      </c>
      <c r="B2087" t="s">
        <v>1988</v>
      </c>
      <c r="C2087">
        <v>70</v>
      </c>
      <c r="D2087">
        <v>67</v>
      </c>
    </row>
    <row r="2088" spans="1:4" x14ac:dyDescent="0.3">
      <c r="A2088" t="s">
        <v>1982</v>
      </c>
      <c r="B2088" t="s">
        <v>1987</v>
      </c>
      <c r="C2088">
        <v>50</v>
      </c>
      <c r="D2088">
        <v>50</v>
      </c>
    </row>
    <row r="2089" spans="1:4" x14ac:dyDescent="0.3">
      <c r="A2089" t="s">
        <v>1982</v>
      </c>
      <c r="B2089" t="s">
        <v>1989</v>
      </c>
      <c r="C2089">
        <v>150</v>
      </c>
      <c r="D2089">
        <v>141</v>
      </c>
    </row>
    <row r="2090" spans="1:4" x14ac:dyDescent="0.3">
      <c r="A2090" t="s">
        <v>1982</v>
      </c>
      <c r="B2090" t="s">
        <v>1988</v>
      </c>
      <c r="C2090">
        <v>70</v>
      </c>
      <c r="D2090">
        <v>69</v>
      </c>
    </row>
    <row r="2091" spans="1:4" x14ac:dyDescent="0.3">
      <c r="A2091" t="s">
        <v>1982</v>
      </c>
      <c r="B2091" t="s">
        <v>1985</v>
      </c>
      <c r="C2091">
        <v>250</v>
      </c>
      <c r="D2091">
        <v>240</v>
      </c>
    </row>
    <row r="2092" spans="1:4" x14ac:dyDescent="0.3">
      <c r="A2092" t="s">
        <v>1982</v>
      </c>
      <c r="B2092" t="s">
        <v>1985</v>
      </c>
      <c r="C2092">
        <v>250</v>
      </c>
      <c r="D2092">
        <v>250</v>
      </c>
    </row>
    <row r="2093" spans="1:4" x14ac:dyDescent="0.3">
      <c r="A2093" t="s">
        <v>1982</v>
      </c>
      <c r="B2093" t="s">
        <v>1987</v>
      </c>
      <c r="C2093">
        <v>50</v>
      </c>
      <c r="D2093">
        <v>46</v>
      </c>
    </row>
    <row r="2094" spans="1:4" x14ac:dyDescent="0.3">
      <c r="A2094" t="s">
        <v>1982</v>
      </c>
      <c r="B2094" t="s">
        <v>1987</v>
      </c>
      <c r="C2094">
        <v>50</v>
      </c>
      <c r="D2094">
        <v>45</v>
      </c>
    </row>
    <row r="2095" spans="1:4" x14ac:dyDescent="0.3">
      <c r="A2095" t="s">
        <v>1982</v>
      </c>
      <c r="B2095" t="s">
        <v>1949</v>
      </c>
      <c r="C2095">
        <v>700</v>
      </c>
      <c r="D2095">
        <v>672</v>
      </c>
    </row>
    <row r="2096" spans="1:4" x14ac:dyDescent="0.3">
      <c r="A2096" t="s">
        <v>1982</v>
      </c>
      <c r="B2096" t="s">
        <v>1984</v>
      </c>
      <c r="C2096">
        <v>80</v>
      </c>
      <c r="D2096">
        <v>72</v>
      </c>
    </row>
    <row r="2097" spans="1:4" x14ac:dyDescent="0.3">
      <c r="A2097" t="s">
        <v>1982</v>
      </c>
      <c r="B2097" t="s">
        <v>1948</v>
      </c>
      <c r="C2097">
        <v>800</v>
      </c>
      <c r="D2097">
        <v>584</v>
      </c>
    </row>
    <row r="2098" spans="1:4" x14ac:dyDescent="0.3">
      <c r="A2098" t="s">
        <v>1982</v>
      </c>
      <c r="B2098" t="s">
        <v>1989</v>
      </c>
      <c r="C2098">
        <v>150</v>
      </c>
      <c r="D2098">
        <v>141</v>
      </c>
    </row>
    <row r="2099" spans="1:4" x14ac:dyDescent="0.3">
      <c r="A2099" t="s">
        <v>1982</v>
      </c>
      <c r="B2099" t="s">
        <v>1988</v>
      </c>
      <c r="C2099">
        <v>70</v>
      </c>
      <c r="D2099">
        <v>66</v>
      </c>
    </row>
    <row r="2100" spans="1:4" x14ac:dyDescent="0.3">
      <c r="A2100" t="s">
        <v>1982</v>
      </c>
      <c r="B2100" t="s">
        <v>1986</v>
      </c>
      <c r="C2100">
        <v>500</v>
      </c>
      <c r="D2100">
        <v>500</v>
      </c>
    </row>
    <row r="2101" spans="1:4" x14ac:dyDescent="0.3">
      <c r="A2101" t="s">
        <v>1982</v>
      </c>
      <c r="B2101" t="s">
        <v>1991</v>
      </c>
      <c r="C2101">
        <v>500</v>
      </c>
      <c r="D2101">
        <v>470</v>
      </c>
    </row>
    <row r="2102" spans="1:4" x14ac:dyDescent="0.3">
      <c r="A2102" t="s">
        <v>1982</v>
      </c>
      <c r="B2102" t="s">
        <v>1987</v>
      </c>
      <c r="C2102">
        <v>50</v>
      </c>
      <c r="D2102">
        <v>50</v>
      </c>
    </row>
    <row r="2103" spans="1:4" x14ac:dyDescent="0.3">
      <c r="A2103" t="s">
        <v>1982</v>
      </c>
      <c r="B2103" t="s">
        <v>1950</v>
      </c>
      <c r="C2103">
        <v>1000</v>
      </c>
      <c r="D2103">
        <v>620</v>
      </c>
    </row>
    <row r="2104" spans="1:4" x14ac:dyDescent="0.3">
      <c r="A2104" t="s">
        <v>1982</v>
      </c>
      <c r="B2104" t="s">
        <v>1984</v>
      </c>
      <c r="C2104">
        <v>80</v>
      </c>
      <c r="D2104">
        <v>75</v>
      </c>
    </row>
    <row r="2105" spans="1:4" x14ac:dyDescent="0.3">
      <c r="A2105" t="s">
        <v>1982</v>
      </c>
      <c r="B2105" t="s">
        <v>1949</v>
      </c>
      <c r="C2105">
        <v>700</v>
      </c>
      <c r="D2105">
        <v>665</v>
      </c>
    </row>
    <row r="2106" spans="1:4" x14ac:dyDescent="0.3">
      <c r="A2106" t="s">
        <v>1982</v>
      </c>
      <c r="B2106" t="s">
        <v>1989</v>
      </c>
      <c r="C2106">
        <v>150</v>
      </c>
      <c r="D2106">
        <v>147</v>
      </c>
    </row>
    <row r="2107" spans="1:4" x14ac:dyDescent="0.3">
      <c r="A2107" t="s">
        <v>1982</v>
      </c>
      <c r="B2107" t="s">
        <v>1948</v>
      </c>
      <c r="C2107">
        <v>800</v>
      </c>
      <c r="D2107">
        <v>544</v>
      </c>
    </row>
    <row r="2108" spans="1:4" x14ac:dyDescent="0.3">
      <c r="A2108" t="s">
        <v>1982</v>
      </c>
      <c r="B2108" t="s">
        <v>1984</v>
      </c>
      <c r="C2108">
        <v>80</v>
      </c>
      <c r="D2108">
        <v>72</v>
      </c>
    </row>
    <row r="2109" spans="1:4" x14ac:dyDescent="0.3">
      <c r="A2109" t="s">
        <v>1982</v>
      </c>
      <c r="B2109" t="s">
        <v>1986</v>
      </c>
      <c r="C2109">
        <v>500</v>
      </c>
      <c r="D2109">
        <v>495</v>
      </c>
    </row>
    <row r="2110" spans="1:4" x14ac:dyDescent="0.3">
      <c r="A2110" t="s">
        <v>1982</v>
      </c>
      <c r="B2110" t="s">
        <v>1992</v>
      </c>
      <c r="C2110">
        <v>30</v>
      </c>
      <c r="D2110">
        <v>29</v>
      </c>
    </row>
    <row r="2111" spans="1:4" x14ac:dyDescent="0.3">
      <c r="A2111" t="s">
        <v>1982</v>
      </c>
      <c r="B2111" t="s">
        <v>1989</v>
      </c>
      <c r="C2111">
        <v>150</v>
      </c>
      <c r="D2111">
        <v>150</v>
      </c>
    </row>
    <row r="2112" spans="1:4" x14ac:dyDescent="0.3">
      <c r="A2112" t="s">
        <v>1982</v>
      </c>
      <c r="B2112" t="s">
        <v>1990</v>
      </c>
      <c r="C2112">
        <v>50</v>
      </c>
      <c r="D2112">
        <v>47</v>
      </c>
    </row>
    <row r="2113" spans="1:4" x14ac:dyDescent="0.3">
      <c r="A2113" t="s">
        <v>1982</v>
      </c>
      <c r="B2113" t="s">
        <v>1985</v>
      </c>
      <c r="C2113">
        <v>250</v>
      </c>
      <c r="D2113">
        <v>245</v>
      </c>
    </row>
    <row r="2114" spans="1:4" x14ac:dyDescent="0.3">
      <c r="A2114" t="s">
        <v>1982</v>
      </c>
      <c r="B2114" t="s">
        <v>1986</v>
      </c>
      <c r="C2114">
        <v>500</v>
      </c>
      <c r="D2114">
        <v>500</v>
      </c>
    </row>
    <row r="2115" spans="1:4" x14ac:dyDescent="0.3">
      <c r="A2115" t="s">
        <v>1982</v>
      </c>
      <c r="B2115" t="s">
        <v>1987</v>
      </c>
      <c r="C2115">
        <v>50</v>
      </c>
      <c r="D2115">
        <v>48</v>
      </c>
    </row>
    <row r="2116" spans="1:4" x14ac:dyDescent="0.3">
      <c r="A2116" t="s">
        <v>1982</v>
      </c>
      <c r="B2116" t="s">
        <v>1985</v>
      </c>
      <c r="C2116">
        <v>250</v>
      </c>
      <c r="D2116">
        <v>238</v>
      </c>
    </row>
    <row r="2117" spans="1:4" x14ac:dyDescent="0.3">
      <c r="A2117" t="s">
        <v>1982</v>
      </c>
      <c r="B2117" t="s">
        <v>1987</v>
      </c>
      <c r="C2117">
        <v>50</v>
      </c>
      <c r="D2117">
        <v>48</v>
      </c>
    </row>
    <row r="2118" spans="1:4" x14ac:dyDescent="0.3">
      <c r="A2118" t="s">
        <v>1982</v>
      </c>
      <c r="B2118" t="s">
        <v>1989</v>
      </c>
      <c r="C2118">
        <v>150</v>
      </c>
      <c r="D2118">
        <v>150</v>
      </c>
    </row>
    <row r="2119" spans="1:4" x14ac:dyDescent="0.3">
      <c r="A2119" t="s">
        <v>1982</v>
      </c>
      <c r="B2119" t="s">
        <v>1988</v>
      </c>
      <c r="C2119">
        <v>70</v>
      </c>
      <c r="D2119">
        <v>68</v>
      </c>
    </row>
    <row r="2120" spans="1:4" x14ac:dyDescent="0.3">
      <c r="A2120" t="s">
        <v>1982</v>
      </c>
      <c r="B2120" t="s">
        <v>1949</v>
      </c>
      <c r="C2120">
        <v>700</v>
      </c>
      <c r="D2120">
        <v>651</v>
      </c>
    </row>
    <row r="2121" spans="1:4" x14ac:dyDescent="0.3">
      <c r="A2121" t="s">
        <v>1982</v>
      </c>
      <c r="B2121" t="s">
        <v>1987</v>
      </c>
      <c r="C2121">
        <v>50</v>
      </c>
      <c r="D2121">
        <v>46</v>
      </c>
    </row>
    <row r="2122" spans="1:4" x14ac:dyDescent="0.3">
      <c r="A2122" t="s">
        <v>1982</v>
      </c>
      <c r="B2122" t="s">
        <v>1949</v>
      </c>
      <c r="C2122">
        <v>700</v>
      </c>
      <c r="D2122">
        <v>665</v>
      </c>
    </row>
    <row r="2123" spans="1:4" x14ac:dyDescent="0.3">
      <c r="A2123" t="s">
        <v>1982</v>
      </c>
      <c r="B2123" t="s">
        <v>1988</v>
      </c>
      <c r="C2123">
        <v>70</v>
      </c>
      <c r="D2123">
        <v>64</v>
      </c>
    </row>
    <row r="2124" spans="1:4" x14ac:dyDescent="0.3">
      <c r="A2124" t="s">
        <v>1982</v>
      </c>
      <c r="B2124" t="s">
        <v>1950</v>
      </c>
      <c r="C2124">
        <v>1000</v>
      </c>
      <c r="D2124">
        <v>670</v>
      </c>
    </row>
    <row r="2125" spans="1:4" x14ac:dyDescent="0.3">
      <c r="A2125" t="s">
        <v>1982</v>
      </c>
      <c r="B2125" t="s">
        <v>1992</v>
      </c>
      <c r="C2125">
        <v>30</v>
      </c>
      <c r="D2125">
        <v>29</v>
      </c>
    </row>
    <row r="2126" spans="1:4" x14ac:dyDescent="0.3">
      <c r="A2126" t="s">
        <v>1982</v>
      </c>
      <c r="B2126" t="s">
        <v>1949</v>
      </c>
      <c r="C2126">
        <v>700</v>
      </c>
      <c r="D2126">
        <v>637</v>
      </c>
    </row>
    <row r="2127" spans="1:4" x14ac:dyDescent="0.3">
      <c r="A2127" t="s">
        <v>1982</v>
      </c>
      <c r="B2127" t="s">
        <v>1984</v>
      </c>
      <c r="C2127">
        <v>80</v>
      </c>
      <c r="D2127">
        <v>78</v>
      </c>
    </row>
    <row r="2128" spans="1:4" x14ac:dyDescent="0.3">
      <c r="A2128" t="s">
        <v>1982</v>
      </c>
      <c r="B2128" t="s">
        <v>1991</v>
      </c>
      <c r="C2128">
        <v>500</v>
      </c>
      <c r="D2128">
        <v>495</v>
      </c>
    </row>
    <row r="2129" spans="1:4" x14ac:dyDescent="0.3">
      <c r="A2129" t="s">
        <v>1982</v>
      </c>
      <c r="B2129" t="s">
        <v>1948</v>
      </c>
      <c r="C2129">
        <v>800</v>
      </c>
      <c r="D2129">
        <v>648</v>
      </c>
    </row>
    <row r="2130" spans="1:4" x14ac:dyDescent="0.3">
      <c r="A2130" t="s">
        <v>1982</v>
      </c>
      <c r="B2130" t="s">
        <v>1988</v>
      </c>
      <c r="C2130">
        <v>70</v>
      </c>
      <c r="D2130">
        <v>65</v>
      </c>
    </row>
    <row r="2131" spans="1:4" x14ac:dyDescent="0.3">
      <c r="A2131" t="s">
        <v>1982</v>
      </c>
      <c r="B2131" t="s">
        <v>1992</v>
      </c>
      <c r="C2131">
        <v>30</v>
      </c>
      <c r="D2131">
        <v>29</v>
      </c>
    </row>
    <row r="2132" spans="1:4" x14ac:dyDescent="0.3">
      <c r="A2132" t="s">
        <v>1982</v>
      </c>
      <c r="B2132" t="s">
        <v>1990</v>
      </c>
      <c r="C2132">
        <v>50</v>
      </c>
      <c r="D2132">
        <v>49</v>
      </c>
    </row>
    <row r="2133" spans="1:4" x14ac:dyDescent="0.3">
      <c r="A2133" t="s">
        <v>1982</v>
      </c>
      <c r="B2133" t="s">
        <v>1985</v>
      </c>
      <c r="C2133">
        <v>250</v>
      </c>
      <c r="D2133">
        <v>228</v>
      </c>
    </row>
    <row r="2134" spans="1:4" x14ac:dyDescent="0.3">
      <c r="A2134" t="s">
        <v>1982</v>
      </c>
      <c r="B2134" t="s">
        <v>1984</v>
      </c>
      <c r="C2134">
        <v>80</v>
      </c>
      <c r="D2134">
        <v>79</v>
      </c>
    </row>
    <row r="2135" spans="1:4" x14ac:dyDescent="0.3">
      <c r="A2135" t="s">
        <v>1982</v>
      </c>
      <c r="B2135" t="s">
        <v>1992</v>
      </c>
      <c r="C2135">
        <v>30</v>
      </c>
      <c r="D2135">
        <v>28</v>
      </c>
    </row>
    <row r="2136" spans="1:4" x14ac:dyDescent="0.3">
      <c r="A2136" t="s">
        <v>1982</v>
      </c>
      <c r="B2136" t="s">
        <v>1990</v>
      </c>
      <c r="C2136">
        <v>50</v>
      </c>
      <c r="D2136">
        <v>48</v>
      </c>
    </row>
    <row r="2137" spans="1:4" x14ac:dyDescent="0.3">
      <c r="A2137" t="s">
        <v>1982</v>
      </c>
      <c r="B2137" t="s">
        <v>1948</v>
      </c>
      <c r="C2137">
        <v>800</v>
      </c>
      <c r="D2137">
        <v>600</v>
      </c>
    </row>
    <row r="2138" spans="1:4" x14ac:dyDescent="0.3">
      <c r="A2138" t="s">
        <v>1982</v>
      </c>
      <c r="B2138" t="s">
        <v>1990</v>
      </c>
      <c r="C2138">
        <v>50</v>
      </c>
      <c r="D2138">
        <v>49</v>
      </c>
    </row>
    <row r="2139" spans="1:4" x14ac:dyDescent="0.3">
      <c r="A2139" t="s">
        <v>1982</v>
      </c>
      <c r="B2139" t="s">
        <v>1987</v>
      </c>
      <c r="C2139">
        <v>50</v>
      </c>
      <c r="D2139">
        <v>44</v>
      </c>
    </row>
    <row r="2140" spans="1:4" x14ac:dyDescent="0.3">
      <c r="A2140" t="s">
        <v>1982</v>
      </c>
      <c r="B2140" t="s">
        <v>1949</v>
      </c>
      <c r="C2140">
        <v>700</v>
      </c>
      <c r="D2140">
        <v>595</v>
      </c>
    </row>
    <row r="2141" spans="1:4" x14ac:dyDescent="0.3">
      <c r="A2141" t="s">
        <v>1982</v>
      </c>
      <c r="B2141" t="s">
        <v>1992</v>
      </c>
      <c r="C2141">
        <v>30</v>
      </c>
      <c r="D2141">
        <v>29</v>
      </c>
    </row>
    <row r="2142" spans="1:4" x14ac:dyDescent="0.3">
      <c r="A2142" t="s">
        <v>1982</v>
      </c>
      <c r="B2142" t="s">
        <v>1988</v>
      </c>
      <c r="C2142">
        <v>70</v>
      </c>
      <c r="D2142">
        <v>66</v>
      </c>
    </row>
    <row r="2143" spans="1:4" x14ac:dyDescent="0.3">
      <c r="A2143" t="s">
        <v>1982</v>
      </c>
      <c r="B2143" t="s">
        <v>1986</v>
      </c>
      <c r="C2143">
        <v>500</v>
      </c>
      <c r="D2143">
        <v>495</v>
      </c>
    </row>
    <row r="2144" spans="1:4" x14ac:dyDescent="0.3">
      <c r="A2144" t="s">
        <v>1982</v>
      </c>
      <c r="B2144" t="s">
        <v>1990</v>
      </c>
      <c r="C2144">
        <v>50</v>
      </c>
      <c r="D2144">
        <v>43</v>
      </c>
    </row>
    <row r="2145" spans="1:4" x14ac:dyDescent="0.3">
      <c r="A2145" t="s">
        <v>1982</v>
      </c>
      <c r="B2145" t="s">
        <v>1987</v>
      </c>
      <c r="C2145">
        <v>50</v>
      </c>
      <c r="D2145">
        <v>44</v>
      </c>
    </row>
    <row r="2146" spans="1:4" x14ac:dyDescent="0.3">
      <c r="A2146" t="s">
        <v>1982</v>
      </c>
      <c r="B2146" t="s">
        <v>1985</v>
      </c>
      <c r="C2146">
        <v>250</v>
      </c>
      <c r="D2146">
        <v>248</v>
      </c>
    </row>
    <row r="2147" spans="1:4" x14ac:dyDescent="0.3">
      <c r="A2147" t="s">
        <v>1982</v>
      </c>
      <c r="B2147" t="s">
        <v>1992</v>
      </c>
      <c r="C2147">
        <v>30</v>
      </c>
      <c r="D2147">
        <v>30</v>
      </c>
    </row>
    <row r="2148" spans="1:4" x14ac:dyDescent="0.3">
      <c r="A2148" t="s">
        <v>1982</v>
      </c>
      <c r="B2148" t="s">
        <v>1989</v>
      </c>
      <c r="C2148">
        <v>150</v>
      </c>
      <c r="D2148">
        <v>149</v>
      </c>
    </row>
    <row r="2149" spans="1:4" x14ac:dyDescent="0.3">
      <c r="A2149" t="s">
        <v>1982</v>
      </c>
      <c r="B2149" t="s">
        <v>1985</v>
      </c>
      <c r="C2149">
        <v>250</v>
      </c>
      <c r="D2149">
        <v>250</v>
      </c>
    </row>
    <row r="2150" spans="1:4" x14ac:dyDescent="0.3">
      <c r="A2150" t="s">
        <v>1982</v>
      </c>
      <c r="B2150" t="s">
        <v>1990</v>
      </c>
      <c r="C2150">
        <v>50</v>
      </c>
      <c r="D2150">
        <v>43</v>
      </c>
    </row>
    <row r="2151" spans="1:4" x14ac:dyDescent="0.3">
      <c r="A2151" t="s">
        <v>1982</v>
      </c>
      <c r="B2151" t="s">
        <v>1985</v>
      </c>
      <c r="C2151">
        <v>250</v>
      </c>
      <c r="D2151">
        <v>245</v>
      </c>
    </row>
    <row r="2152" spans="1:4" x14ac:dyDescent="0.3">
      <c r="A2152" t="s">
        <v>1982</v>
      </c>
      <c r="B2152" t="s">
        <v>1986</v>
      </c>
      <c r="C2152">
        <v>500</v>
      </c>
      <c r="D2152">
        <v>490</v>
      </c>
    </row>
    <row r="2153" spans="1:4" x14ac:dyDescent="0.3">
      <c r="A2153" t="s">
        <v>1982</v>
      </c>
      <c r="B2153" t="s">
        <v>1984</v>
      </c>
      <c r="C2153">
        <v>80</v>
      </c>
      <c r="D2153">
        <v>68</v>
      </c>
    </row>
    <row r="2154" spans="1:4" x14ac:dyDescent="0.3">
      <c r="A2154" t="s">
        <v>1982</v>
      </c>
      <c r="B2154" t="s">
        <v>1989</v>
      </c>
      <c r="C2154">
        <v>150</v>
      </c>
      <c r="D2154">
        <v>149</v>
      </c>
    </row>
    <row r="2155" spans="1:4" x14ac:dyDescent="0.3">
      <c r="A2155" t="s">
        <v>1982</v>
      </c>
      <c r="B2155" t="s">
        <v>1987</v>
      </c>
      <c r="C2155">
        <v>50</v>
      </c>
      <c r="D2155">
        <v>44</v>
      </c>
    </row>
    <row r="2156" spans="1:4" x14ac:dyDescent="0.3">
      <c r="A2156" t="s">
        <v>1982</v>
      </c>
      <c r="B2156" t="s">
        <v>1985</v>
      </c>
      <c r="C2156">
        <v>250</v>
      </c>
      <c r="D2156">
        <v>248</v>
      </c>
    </row>
    <row r="2157" spans="1:4" x14ac:dyDescent="0.3">
      <c r="A2157" t="s">
        <v>1982</v>
      </c>
      <c r="B2157" t="s">
        <v>1949</v>
      </c>
      <c r="C2157">
        <v>700</v>
      </c>
      <c r="D2157">
        <v>644</v>
      </c>
    </row>
    <row r="2158" spans="1:4" x14ac:dyDescent="0.3">
      <c r="A2158" t="s">
        <v>1982</v>
      </c>
      <c r="B2158" t="s">
        <v>1989</v>
      </c>
      <c r="C2158">
        <v>150</v>
      </c>
      <c r="D2158">
        <v>132</v>
      </c>
    </row>
    <row r="2159" spans="1:4" x14ac:dyDescent="0.3">
      <c r="A2159" t="s">
        <v>1982</v>
      </c>
      <c r="B2159" t="s">
        <v>1984</v>
      </c>
      <c r="C2159">
        <v>80</v>
      </c>
      <c r="D2159">
        <v>72</v>
      </c>
    </row>
    <row r="2160" spans="1:4" x14ac:dyDescent="0.3">
      <c r="A2160" t="s">
        <v>1982</v>
      </c>
      <c r="B2160" t="s">
        <v>1988</v>
      </c>
      <c r="C2160">
        <v>70</v>
      </c>
      <c r="D2160">
        <v>63</v>
      </c>
    </row>
    <row r="2161" spans="1:4" x14ac:dyDescent="0.3">
      <c r="A2161" t="s">
        <v>1982</v>
      </c>
      <c r="B2161" t="s">
        <v>1948</v>
      </c>
      <c r="C2161">
        <v>800</v>
      </c>
      <c r="D2161">
        <v>544</v>
      </c>
    </row>
    <row r="2162" spans="1:4" x14ac:dyDescent="0.3">
      <c r="A2162" t="s">
        <v>1982</v>
      </c>
      <c r="B2162" t="s">
        <v>1987</v>
      </c>
      <c r="C2162">
        <v>50</v>
      </c>
      <c r="D2162">
        <v>46</v>
      </c>
    </row>
    <row r="2163" spans="1:4" x14ac:dyDescent="0.3">
      <c r="A2163" t="s">
        <v>1982</v>
      </c>
      <c r="B2163" t="s">
        <v>1985</v>
      </c>
      <c r="C2163">
        <v>250</v>
      </c>
      <c r="D2163">
        <v>248</v>
      </c>
    </row>
    <row r="2164" spans="1:4" x14ac:dyDescent="0.3">
      <c r="A2164" t="s">
        <v>1982</v>
      </c>
      <c r="B2164" t="s">
        <v>1991</v>
      </c>
      <c r="C2164">
        <v>500</v>
      </c>
      <c r="D2164">
        <v>450</v>
      </c>
    </row>
    <row r="2165" spans="1:4" x14ac:dyDescent="0.3">
      <c r="A2165" t="s">
        <v>1982</v>
      </c>
      <c r="B2165" t="s">
        <v>1986</v>
      </c>
      <c r="C2165">
        <v>500</v>
      </c>
      <c r="D2165">
        <v>500</v>
      </c>
    </row>
    <row r="2166" spans="1:4" x14ac:dyDescent="0.3">
      <c r="A2166" t="s">
        <v>1982</v>
      </c>
      <c r="B2166" t="s">
        <v>1991</v>
      </c>
      <c r="C2166">
        <v>500</v>
      </c>
      <c r="D2166">
        <v>500</v>
      </c>
    </row>
    <row r="2167" spans="1:4" x14ac:dyDescent="0.3">
      <c r="A2167" t="s">
        <v>1982</v>
      </c>
      <c r="B2167" t="s">
        <v>1986</v>
      </c>
      <c r="C2167">
        <v>500</v>
      </c>
      <c r="D2167">
        <v>490</v>
      </c>
    </row>
    <row r="2168" spans="1:4" x14ac:dyDescent="0.3">
      <c r="A2168" t="s">
        <v>1982</v>
      </c>
      <c r="B2168" t="s">
        <v>1984</v>
      </c>
      <c r="C2168">
        <v>80</v>
      </c>
      <c r="D2168">
        <v>79</v>
      </c>
    </row>
    <row r="2169" spans="1:4" x14ac:dyDescent="0.3">
      <c r="A2169" t="s">
        <v>1982</v>
      </c>
      <c r="B2169" t="s">
        <v>1989</v>
      </c>
      <c r="C2169">
        <v>150</v>
      </c>
      <c r="D2169">
        <v>150</v>
      </c>
    </row>
    <row r="2170" spans="1:4" x14ac:dyDescent="0.3">
      <c r="A2170" t="s">
        <v>1982</v>
      </c>
      <c r="B2170" t="s">
        <v>1986</v>
      </c>
      <c r="C2170">
        <v>500</v>
      </c>
      <c r="D2170">
        <v>500</v>
      </c>
    </row>
    <row r="2171" spans="1:4" x14ac:dyDescent="0.3">
      <c r="A2171" t="s">
        <v>1982</v>
      </c>
      <c r="B2171" t="s">
        <v>1989</v>
      </c>
      <c r="C2171">
        <v>150</v>
      </c>
      <c r="D2171">
        <v>128</v>
      </c>
    </row>
    <row r="2172" spans="1:4" x14ac:dyDescent="0.3">
      <c r="A2172" t="s">
        <v>1982</v>
      </c>
      <c r="B2172" t="s">
        <v>1992</v>
      </c>
      <c r="C2172">
        <v>30</v>
      </c>
      <c r="D2172">
        <v>27</v>
      </c>
    </row>
    <row r="2173" spans="1:4" x14ac:dyDescent="0.3">
      <c r="A2173" t="s">
        <v>1982</v>
      </c>
      <c r="B2173" t="s">
        <v>1949</v>
      </c>
      <c r="C2173">
        <v>700</v>
      </c>
      <c r="D2173">
        <v>644</v>
      </c>
    </row>
    <row r="2174" spans="1:4" x14ac:dyDescent="0.3">
      <c r="A2174" t="s">
        <v>1982</v>
      </c>
      <c r="B2174" t="s">
        <v>1986</v>
      </c>
      <c r="C2174">
        <v>500</v>
      </c>
      <c r="D2174">
        <v>495</v>
      </c>
    </row>
    <row r="2175" spans="1:4" x14ac:dyDescent="0.3">
      <c r="A2175" t="s">
        <v>1982</v>
      </c>
      <c r="B2175" t="s">
        <v>1986</v>
      </c>
      <c r="C2175">
        <v>500</v>
      </c>
      <c r="D2175">
        <v>490</v>
      </c>
    </row>
    <row r="2176" spans="1:4" x14ac:dyDescent="0.3">
      <c r="A2176" t="s">
        <v>1982</v>
      </c>
      <c r="B2176" t="s">
        <v>1948</v>
      </c>
      <c r="C2176">
        <v>800</v>
      </c>
      <c r="D2176">
        <v>512</v>
      </c>
    </row>
    <row r="2177" spans="1:4" x14ac:dyDescent="0.3">
      <c r="A2177" t="s">
        <v>1982</v>
      </c>
      <c r="B2177" t="s">
        <v>1991</v>
      </c>
      <c r="C2177">
        <v>500</v>
      </c>
      <c r="D2177">
        <v>425</v>
      </c>
    </row>
    <row r="2178" spans="1:4" x14ac:dyDescent="0.3">
      <c r="A2178" t="s">
        <v>1982</v>
      </c>
      <c r="B2178" t="s">
        <v>1984</v>
      </c>
      <c r="C2178">
        <v>80</v>
      </c>
      <c r="D2178">
        <v>72</v>
      </c>
    </row>
    <row r="2179" spans="1:4" x14ac:dyDescent="0.3">
      <c r="A2179" t="s">
        <v>1982</v>
      </c>
      <c r="B2179" t="s">
        <v>1989</v>
      </c>
      <c r="C2179">
        <v>150</v>
      </c>
      <c r="D2179">
        <v>150</v>
      </c>
    </row>
    <row r="2180" spans="1:4" x14ac:dyDescent="0.3">
      <c r="A2180" t="s">
        <v>1982</v>
      </c>
      <c r="B2180" t="s">
        <v>1984</v>
      </c>
      <c r="C2180">
        <v>80</v>
      </c>
      <c r="D2180">
        <v>76</v>
      </c>
    </row>
    <row r="2181" spans="1:4" x14ac:dyDescent="0.3">
      <c r="A2181" t="s">
        <v>1982</v>
      </c>
      <c r="B2181" t="s">
        <v>1990</v>
      </c>
      <c r="C2181">
        <v>50</v>
      </c>
      <c r="D2181">
        <v>49</v>
      </c>
    </row>
    <row r="2182" spans="1:4" x14ac:dyDescent="0.3">
      <c r="A2182" t="s">
        <v>1982</v>
      </c>
      <c r="B2182" t="s">
        <v>1985</v>
      </c>
      <c r="C2182">
        <v>250</v>
      </c>
      <c r="D2182">
        <v>215</v>
      </c>
    </row>
    <row r="2183" spans="1:4" x14ac:dyDescent="0.3">
      <c r="A2183" t="s">
        <v>1982</v>
      </c>
      <c r="B2183" t="s">
        <v>1986</v>
      </c>
      <c r="C2183">
        <v>500</v>
      </c>
      <c r="D2183">
        <v>500</v>
      </c>
    </row>
    <row r="2184" spans="1:4" x14ac:dyDescent="0.3">
      <c r="A2184" t="s">
        <v>1982</v>
      </c>
      <c r="B2184" t="s">
        <v>1950</v>
      </c>
      <c r="C2184">
        <v>1000</v>
      </c>
      <c r="D2184">
        <v>600</v>
      </c>
    </row>
    <row r="2185" spans="1:4" x14ac:dyDescent="0.3">
      <c r="A2185" t="s">
        <v>1982</v>
      </c>
      <c r="B2185" t="s">
        <v>1992</v>
      </c>
      <c r="C2185">
        <v>30</v>
      </c>
      <c r="D2185">
        <v>20</v>
      </c>
    </row>
    <row r="2186" spans="1:4" x14ac:dyDescent="0.3">
      <c r="A2186" t="s">
        <v>1982</v>
      </c>
      <c r="B2186" t="s">
        <v>1989</v>
      </c>
      <c r="C2186">
        <v>150</v>
      </c>
      <c r="D2186">
        <v>144</v>
      </c>
    </row>
    <row r="2187" spans="1:4" x14ac:dyDescent="0.3">
      <c r="A2187" t="s">
        <v>1982</v>
      </c>
      <c r="B2187" t="s">
        <v>1984</v>
      </c>
      <c r="C2187">
        <v>80</v>
      </c>
      <c r="D2187">
        <v>54</v>
      </c>
    </row>
    <row r="2188" spans="1:4" x14ac:dyDescent="0.3">
      <c r="A2188" t="s">
        <v>1982</v>
      </c>
      <c r="B2188" t="s">
        <v>1988</v>
      </c>
      <c r="C2188">
        <v>70</v>
      </c>
      <c r="D2188">
        <v>55</v>
      </c>
    </row>
    <row r="2189" spans="1:4" x14ac:dyDescent="0.3">
      <c r="A2189" t="s">
        <v>1982</v>
      </c>
      <c r="B2189" t="s">
        <v>1990</v>
      </c>
      <c r="C2189">
        <v>50</v>
      </c>
      <c r="D2189">
        <v>33</v>
      </c>
    </row>
    <row r="2190" spans="1:4" x14ac:dyDescent="0.3">
      <c r="A2190" t="s">
        <v>1982</v>
      </c>
      <c r="B2190" t="s">
        <v>1991</v>
      </c>
      <c r="C2190">
        <v>500</v>
      </c>
      <c r="D2190">
        <v>495</v>
      </c>
    </row>
    <row r="2191" spans="1:4" x14ac:dyDescent="0.3">
      <c r="A2191" t="s">
        <v>1982</v>
      </c>
      <c r="B2191" t="s">
        <v>1984</v>
      </c>
      <c r="C2191">
        <v>80</v>
      </c>
      <c r="D2191">
        <v>70</v>
      </c>
    </row>
    <row r="2192" spans="1:4" x14ac:dyDescent="0.3">
      <c r="A2192" t="s">
        <v>1982</v>
      </c>
      <c r="B2192" t="s">
        <v>1988</v>
      </c>
      <c r="C2192">
        <v>70</v>
      </c>
      <c r="D2192">
        <v>54</v>
      </c>
    </row>
    <row r="2193" spans="1:4" x14ac:dyDescent="0.3">
      <c r="A2193" t="s">
        <v>1982</v>
      </c>
      <c r="B2193" t="s">
        <v>1991</v>
      </c>
      <c r="C2193">
        <v>500</v>
      </c>
      <c r="D2193">
        <v>480</v>
      </c>
    </row>
    <row r="2194" spans="1:4" x14ac:dyDescent="0.3">
      <c r="A2194" t="s">
        <v>1982</v>
      </c>
      <c r="B2194" t="s">
        <v>1949</v>
      </c>
      <c r="C2194">
        <v>700</v>
      </c>
      <c r="D2194">
        <v>672</v>
      </c>
    </row>
    <row r="2195" spans="1:4" x14ac:dyDescent="0.3">
      <c r="A2195" t="s">
        <v>1982</v>
      </c>
      <c r="B2195" t="s">
        <v>1989</v>
      </c>
      <c r="C2195">
        <v>150</v>
      </c>
      <c r="D2195">
        <v>101</v>
      </c>
    </row>
    <row r="2196" spans="1:4" x14ac:dyDescent="0.3">
      <c r="A2196" t="s">
        <v>1982</v>
      </c>
      <c r="B2196" t="s">
        <v>1987</v>
      </c>
      <c r="C2196">
        <v>50</v>
      </c>
      <c r="D2196">
        <v>50</v>
      </c>
    </row>
    <row r="2197" spans="1:4" x14ac:dyDescent="0.3">
      <c r="A2197" t="s">
        <v>1982</v>
      </c>
      <c r="B2197" t="s">
        <v>1987</v>
      </c>
      <c r="C2197">
        <v>50</v>
      </c>
      <c r="D2197">
        <v>36</v>
      </c>
    </row>
    <row r="2198" spans="1:4" x14ac:dyDescent="0.3">
      <c r="A2198" t="s">
        <v>1982</v>
      </c>
      <c r="B2198" t="s">
        <v>1988</v>
      </c>
      <c r="C2198">
        <v>70</v>
      </c>
      <c r="D2198">
        <v>63</v>
      </c>
    </row>
    <row r="2199" spans="1:4" x14ac:dyDescent="0.3">
      <c r="A2199" t="s">
        <v>1982</v>
      </c>
      <c r="B2199" t="s">
        <v>1986</v>
      </c>
      <c r="C2199">
        <v>500</v>
      </c>
      <c r="D2199">
        <v>500</v>
      </c>
    </row>
    <row r="2200" spans="1:4" x14ac:dyDescent="0.3">
      <c r="A2200" t="s">
        <v>1982</v>
      </c>
      <c r="B2200" t="s">
        <v>1948</v>
      </c>
      <c r="C2200">
        <v>800</v>
      </c>
      <c r="D2200">
        <v>528</v>
      </c>
    </row>
    <row r="2201" spans="1:4" x14ac:dyDescent="0.3">
      <c r="A2201" t="s">
        <v>1982</v>
      </c>
      <c r="B2201" t="s">
        <v>1948</v>
      </c>
      <c r="C2201">
        <v>800</v>
      </c>
      <c r="D2201">
        <v>600</v>
      </c>
    </row>
    <row r="2202" spans="1:4" x14ac:dyDescent="0.3">
      <c r="A2202" t="s">
        <v>1982</v>
      </c>
      <c r="B2202" t="s">
        <v>1949</v>
      </c>
      <c r="C2202">
        <v>700</v>
      </c>
      <c r="D2202">
        <v>476</v>
      </c>
    </row>
    <row r="2203" spans="1:4" x14ac:dyDescent="0.3">
      <c r="A2203" t="s">
        <v>1982</v>
      </c>
      <c r="B2203" t="s">
        <v>1990</v>
      </c>
      <c r="C2203">
        <v>50</v>
      </c>
      <c r="D2203">
        <v>36</v>
      </c>
    </row>
    <row r="2204" spans="1:4" x14ac:dyDescent="0.3">
      <c r="A2204" t="s">
        <v>1982</v>
      </c>
      <c r="B2204" t="s">
        <v>1989</v>
      </c>
      <c r="C2204">
        <v>150</v>
      </c>
      <c r="D2204">
        <v>113</v>
      </c>
    </row>
    <row r="2205" spans="1:4" x14ac:dyDescent="0.3">
      <c r="A2205" t="s">
        <v>1982</v>
      </c>
      <c r="B2205" t="s">
        <v>1992</v>
      </c>
      <c r="C2205">
        <v>30</v>
      </c>
      <c r="D2205">
        <v>25</v>
      </c>
    </row>
    <row r="2206" spans="1:4" x14ac:dyDescent="0.3">
      <c r="A2206" t="s">
        <v>1982</v>
      </c>
      <c r="B2206" t="s">
        <v>1988</v>
      </c>
      <c r="C2206">
        <v>70</v>
      </c>
      <c r="D2206">
        <v>51</v>
      </c>
    </row>
    <row r="2207" spans="1:4" x14ac:dyDescent="0.3">
      <c r="A2207" t="s">
        <v>1982</v>
      </c>
      <c r="B2207" t="s">
        <v>1992</v>
      </c>
      <c r="C2207">
        <v>30</v>
      </c>
      <c r="D2207">
        <v>26</v>
      </c>
    </row>
    <row r="2208" spans="1:4" x14ac:dyDescent="0.3">
      <c r="A2208" t="s">
        <v>1982</v>
      </c>
      <c r="B2208" t="s">
        <v>1986</v>
      </c>
      <c r="C2208">
        <v>500</v>
      </c>
      <c r="D2208">
        <v>500</v>
      </c>
    </row>
    <row r="2209" spans="1:4" x14ac:dyDescent="0.3">
      <c r="A2209" t="s">
        <v>1982</v>
      </c>
      <c r="B2209" t="s">
        <v>1986</v>
      </c>
      <c r="C2209">
        <v>500</v>
      </c>
      <c r="D2209">
        <v>490</v>
      </c>
    </row>
    <row r="2210" spans="1:4" x14ac:dyDescent="0.3">
      <c r="A2210" t="s">
        <v>1982</v>
      </c>
      <c r="B2210" t="s">
        <v>1986</v>
      </c>
      <c r="C2210">
        <v>500</v>
      </c>
      <c r="D2210">
        <v>500</v>
      </c>
    </row>
    <row r="2211" spans="1:4" x14ac:dyDescent="0.3">
      <c r="A2211" t="s">
        <v>1982</v>
      </c>
      <c r="B2211" t="s">
        <v>1992</v>
      </c>
      <c r="C2211">
        <v>30</v>
      </c>
      <c r="D2211">
        <v>29</v>
      </c>
    </row>
    <row r="2212" spans="1:4" x14ac:dyDescent="0.3">
      <c r="A2212" t="s">
        <v>1982</v>
      </c>
      <c r="B2212" t="s">
        <v>1984</v>
      </c>
      <c r="C2212">
        <v>80</v>
      </c>
      <c r="D2212">
        <v>79</v>
      </c>
    </row>
    <row r="2213" spans="1:4" x14ac:dyDescent="0.3">
      <c r="A2213" t="s">
        <v>1982</v>
      </c>
      <c r="B2213" t="s">
        <v>1985</v>
      </c>
      <c r="C2213">
        <v>250</v>
      </c>
      <c r="D2213">
        <v>243</v>
      </c>
    </row>
    <row r="2214" spans="1:4" x14ac:dyDescent="0.3">
      <c r="A2214" t="s">
        <v>1982</v>
      </c>
      <c r="B2214" t="s">
        <v>1949</v>
      </c>
      <c r="C2214">
        <v>700</v>
      </c>
      <c r="D2214">
        <v>560</v>
      </c>
    </row>
    <row r="2215" spans="1:4" x14ac:dyDescent="0.3">
      <c r="A2215" t="s">
        <v>1982</v>
      </c>
      <c r="B2215" t="s">
        <v>1987</v>
      </c>
      <c r="C2215">
        <v>50</v>
      </c>
      <c r="D2215">
        <v>45</v>
      </c>
    </row>
    <row r="2216" spans="1:4" x14ac:dyDescent="0.3">
      <c r="A2216" t="s">
        <v>1982</v>
      </c>
      <c r="B2216" t="s">
        <v>1992</v>
      </c>
      <c r="C2216">
        <v>30</v>
      </c>
      <c r="D2216">
        <v>22</v>
      </c>
    </row>
    <row r="2217" spans="1:4" x14ac:dyDescent="0.3">
      <c r="A2217" t="s">
        <v>1982</v>
      </c>
      <c r="B2217" t="s">
        <v>1992</v>
      </c>
      <c r="C2217">
        <v>30</v>
      </c>
      <c r="D2217">
        <v>30</v>
      </c>
    </row>
    <row r="2218" spans="1:4" x14ac:dyDescent="0.3">
      <c r="A2218" t="s">
        <v>1982</v>
      </c>
      <c r="B2218" t="s">
        <v>1988</v>
      </c>
      <c r="C2218">
        <v>70</v>
      </c>
      <c r="D2218">
        <v>53</v>
      </c>
    </row>
    <row r="2219" spans="1:4" x14ac:dyDescent="0.3">
      <c r="A2219" t="s">
        <v>1982</v>
      </c>
      <c r="B2219" t="s">
        <v>1992</v>
      </c>
      <c r="C2219">
        <v>30</v>
      </c>
      <c r="D2219">
        <v>23</v>
      </c>
    </row>
    <row r="2220" spans="1:4" x14ac:dyDescent="0.3">
      <c r="A2220" t="s">
        <v>1982</v>
      </c>
      <c r="B2220" t="s">
        <v>1992</v>
      </c>
      <c r="C2220">
        <v>30</v>
      </c>
      <c r="D2220">
        <v>30</v>
      </c>
    </row>
    <row r="2221" spans="1:4" x14ac:dyDescent="0.3">
      <c r="A2221" t="s">
        <v>1982</v>
      </c>
      <c r="B2221" t="s">
        <v>1988</v>
      </c>
      <c r="C2221">
        <v>70</v>
      </c>
      <c r="D2221">
        <v>48</v>
      </c>
    </row>
    <row r="2222" spans="1:4" x14ac:dyDescent="0.3">
      <c r="A2222" t="s">
        <v>1982</v>
      </c>
      <c r="B2222" t="s">
        <v>1986</v>
      </c>
      <c r="C2222">
        <v>500</v>
      </c>
      <c r="D2222">
        <v>490</v>
      </c>
    </row>
    <row r="2223" spans="1:4" x14ac:dyDescent="0.3">
      <c r="A2223" t="s">
        <v>1982</v>
      </c>
      <c r="B2223" t="s">
        <v>1949</v>
      </c>
      <c r="C2223">
        <v>700</v>
      </c>
      <c r="D2223">
        <v>560</v>
      </c>
    </row>
    <row r="2224" spans="1:4" x14ac:dyDescent="0.3">
      <c r="A2224" t="s">
        <v>1982</v>
      </c>
      <c r="B2224" t="s">
        <v>1948</v>
      </c>
      <c r="C2224">
        <v>800</v>
      </c>
      <c r="D2224">
        <v>440</v>
      </c>
    </row>
    <row r="2225" spans="1:4" x14ac:dyDescent="0.3">
      <c r="A2225" t="s">
        <v>1982</v>
      </c>
      <c r="B2225" t="s">
        <v>1989</v>
      </c>
      <c r="C2225">
        <v>150</v>
      </c>
      <c r="D2225">
        <v>116</v>
      </c>
    </row>
    <row r="2226" spans="1:4" x14ac:dyDescent="0.3">
      <c r="A2226" t="s">
        <v>1982</v>
      </c>
      <c r="B2226" t="s">
        <v>1949</v>
      </c>
      <c r="C2226">
        <v>700</v>
      </c>
      <c r="D2226">
        <v>665</v>
      </c>
    </row>
    <row r="2227" spans="1:4" x14ac:dyDescent="0.3">
      <c r="A2227" t="s">
        <v>1982</v>
      </c>
      <c r="B2227" t="s">
        <v>1984</v>
      </c>
      <c r="C2227">
        <v>80</v>
      </c>
      <c r="D2227">
        <v>75</v>
      </c>
    </row>
    <row r="2228" spans="1:4" x14ac:dyDescent="0.3">
      <c r="A2228" t="s">
        <v>1982</v>
      </c>
      <c r="B2228" t="s">
        <v>1992</v>
      </c>
      <c r="C2228">
        <v>30</v>
      </c>
      <c r="D2228">
        <v>30</v>
      </c>
    </row>
    <row r="2229" spans="1:4" x14ac:dyDescent="0.3">
      <c r="A2229" t="s">
        <v>1982</v>
      </c>
      <c r="B2229" t="s">
        <v>1986</v>
      </c>
      <c r="C2229">
        <v>500</v>
      </c>
      <c r="D2229">
        <v>500</v>
      </c>
    </row>
    <row r="2230" spans="1:4" x14ac:dyDescent="0.3">
      <c r="A2230" t="s">
        <v>1982</v>
      </c>
      <c r="B2230" t="s">
        <v>1987</v>
      </c>
      <c r="C2230">
        <v>50</v>
      </c>
      <c r="D2230">
        <v>33</v>
      </c>
    </row>
    <row r="2231" spans="1:4" x14ac:dyDescent="0.3">
      <c r="A2231" t="s">
        <v>1982</v>
      </c>
      <c r="B2231" t="s">
        <v>1988</v>
      </c>
      <c r="C2231">
        <v>70</v>
      </c>
      <c r="D2231">
        <v>66</v>
      </c>
    </row>
    <row r="2232" spans="1:4" x14ac:dyDescent="0.3">
      <c r="A2232" t="s">
        <v>1982</v>
      </c>
      <c r="B2232" t="s">
        <v>1984</v>
      </c>
      <c r="C2232">
        <v>80</v>
      </c>
      <c r="D2232">
        <v>69</v>
      </c>
    </row>
    <row r="2233" spans="1:4" x14ac:dyDescent="0.3">
      <c r="A2233" t="s">
        <v>1982</v>
      </c>
      <c r="B2233" t="s">
        <v>1984</v>
      </c>
      <c r="C2233">
        <v>80</v>
      </c>
      <c r="D2233">
        <v>56</v>
      </c>
    </row>
    <row r="2234" spans="1:4" x14ac:dyDescent="0.3">
      <c r="A2234" t="s">
        <v>1982</v>
      </c>
      <c r="B2234" t="s">
        <v>1987</v>
      </c>
      <c r="C2234">
        <v>50</v>
      </c>
      <c r="D2234">
        <v>48</v>
      </c>
    </row>
    <row r="2235" spans="1:4" x14ac:dyDescent="0.3">
      <c r="A2235" t="s">
        <v>1982</v>
      </c>
      <c r="B2235" t="s">
        <v>1987</v>
      </c>
      <c r="C2235">
        <v>50</v>
      </c>
      <c r="D2235">
        <v>44</v>
      </c>
    </row>
    <row r="2236" spans="1:4" x14ac:dyDescent="0.3">
      <c r="A2236" t="s">
        <v>1982</v>
      </c>
      <c r="B2236" t="s">
        <v>1949</v>
      </c>
      <c r="C2236">
        <v>700</v>
      </c>
      <c r="D2236">
        <v>651</v>
      </c>
    </row>
    <row r="2237" spans="1:4" x14ac:dyDescent="0.3">
      <c r="A2237" t="s">
        <v>1982</v>
      </c>
      <c r="B2237" t="s">
        <v>1991</v>
      </c>
      <c r="C2237">
        <v>500</v>
      </c>
      <c r="D2237">
        <v>390</v>
      </c>
    </row>
    <row r="2238" spans="1:4" x14ac:dyDescent="0.3">
      <c r="A2238" t="s">
        <v>1982</v>
      </c>
      <c r="B2238" t="s">
        <v>1989</v>
      </c>
      <c r="C2238">
        <v>150</v>
      </c>
      <c r="D2238">
        <v>108</v>
      </c>
    </row>
    <row r="2239" spans="1:4" x14ac:dyDescent="0.3">
      <c r="A2239" t="s">
        <v>1982</v>
      </c>
      <c r="B2239" t="s">
        <v>1984</v>
      </c>
      <c r="C2239">
        <v>80</v>
      </c>
      <c r="D2239">
        <v>62</v>
      </c>
    </row>
    <row r="2240" spans="1:4" x14ac:dyDescent="0.3">
      <c r="A2240" t="s">
        <v>1982</v>
      </c>
      <c r="B2240" t="s">
        <v>1987</v>
      </c>
      <c r="C2240">
        <v>50</v>
      </c>
      <c r="D2240">
        <v>45</v>
      </c>
    </row>
    <row r="2241" spans="1:4" x14ac:dyDescent="0.3">
      <c r="A2241" t="s">
        <v>1982</v>
      </c>
      <c r="B2241" t="s">
        <v>1990</v>
      </c>
      <c r="C2241">
        <v>50</v>
      </c>
      <c r="D2241">
        <v>41</v>
      </c>
    </row>
    <row r="2242" spans="1:4" x14ac:dyDescent="0.3">
      <c r="A2242" t="s">
        <v>1982</v>
      </c>
      <c r="B2242" t="s">
        <v>1992</v>
      </c>
      <c r="C2242">
        <v>30</v>
      </c>
      <c r="D2242">
        <v>27</v>
      </c>
    </row>
    <row r="2243" spans="1:4" x14ac:dyDescent="0.3">
      <c r="A2243" t="s">
        <v>1982</v>
      </c>
      <c r="B2243" t="s">
        <v>1989</v>
      </c>
      <c r="C2243">
        <v>150</v>
      </c>
      <c r="D2243">
        <v>110</v>
      </c>
    </row>
    <row r="2244" spans="1:4" x14ac:dyDescent="0.3">
      <c r="A2244" t="s">
        <v>1982</v>
      </c>
      <c r="B2244" t="s">
        <v>1984</v>
      </c>
      <c r="C2244">
        <v>80</v>
      </c>
      <c r="D2244">
        <v>76</v>
      </c>
    </row>
    <row r="2245" spans="1:4" x14ac:dyDescent="0.3">
      <c r="A2245" t="s">
        <v>1982</v>
      </c>
      <c r="B2245" t="s">
        <v>1986</v>
      </c>
      <c r="C2245">
        <v>500</v>
      </c>
      <c r="D2245">
        <v>495</v>
      </c>
    </row>
    <row r="2246" spans="1:4" x14ac:dyDescent="0.3">
      <c r="A2246" t="s">
        <v>1982</v>
      </c>
      <c r="B2246" t="s">
        <v>1988</v>
      </c>
      <c r="C2246">
        <v>70</v>
      </c>
      <c r="D2246">
        <v>64</v>
      </c>
    </row>
    <row r="2247" spans="1:4" x14ac:dyDescent="0.3">
      <c r="A2247" t="s">
        <v>1982</v>
      </c>
      <c r="B2247" t="s">
        <v>1984</v>
      </c>
      <c r="C2247">
        <v>80</v>
      </c>
      <c r="D2247">
        <v>78</v>
      </c>
    </row>
    <row r="2248" spans="1:4" x14ac:dyDescent="0.3">
      <c r="A2248" t="s">
        <v>1982</v>
      </c>
      <c r="B2248" t="s">
        <v>1991</v>
      </c>
      <c r="C2248">
        <v>500</v>
      </c>
      <c r="D2248">
        <v>400</v>
      </c>
    </row>
    <row r="2249" spans="1:4" x14ac:dyDescent="0.3">
      <c r="A2249" t="s">
        <v>1982</v>
      </c>
      <c r="B2249" t="s">
        <v>1987</v>
      </c>
      <c r="C2249">
        <v>50</v>
      </c>
      <c r="D2249">
        <v>38</v>
      </c>
    </row>
    <row r="2250" spans="1:4" x14ac:dyDescent="0.3">
      <c r="A2250" t="s">
        <v>1982</v>
      </c>
      <c r="B2250" t="s">
        <v>1948</v>
      </c>
      <c r="C2250">
        <v>800</v>
      </c>
      <c r="D2250">
        <v>512</v>
      </c>
    </row>
    <row r="2251" spans="1:4" x14ac:dyDescent="0.3">
      <c r="A2251" t="s">
        <v>1982</v>
      </c>
      <c r="B2251" t="s">
        <v>1950</v>
      </c>
      <c r="C2251">
        <v>1000</v>
      </c>
      <c r="D2251">
        <v>590</v>
      </c>
    </row>
    <row r="2252" spans="1:4" x14ac:dyDescent="0.3">
      <c r="A2252" t="s">
        <v>1982</v>
      </c>
      <c r="B2252" t="s">
        <v>1987</v>
      </c>
      <c r="C2252">
        <v>50</v>
      </c>
      <c r="D2252">
        <v>44</v>
      </c>
    </row>
    <row r="2253" spans="1:4" x14ac:dyDescent="0.3">
      <c r="A2253" t="s">
        <v>1982</v>
      </c>
      <c r="B2253" t="s">
        <v>1990</v>
      </c>
      <c r="C2253">
        <v>50</v>
      </c>
      <c r="D2253">
        <v>49</v>
      </c>
    </row>
    <row r="2254" spans="1:4" x14ac:dyDescent="0.3">
      <c r="A2254" t="s">
        <v>1982</v>
      </c>
      <c r="B2254" t="s">
        <v>1949</v>
      </c>
      <c r="C2254">
        <v>700</v>
      </c>
      <c r="D2254">
        <v>658</v>
      </c>
    </row>
    <row r="2255" spans="1:4" x14ac:dyDescent="0.3">
      <c r="A2255" t="s">
        <v>1982</v>
      </c>
      <c r="B2255" t="s">
        <v>1984</v>
      </c>
      <c r="C2255">
        <v>80</v>
      </c>
      <c r="D2255">
        <v>58</v>
      </c>
    </row>
    <row r="2256" spans="1:4" x14ac:dyDescent="0.3">
      <c r="A2256" t="s">
        <v>1982</v>
      </c>
      <c r="B2256" t="s">
        <v>1988</v>
      </c>
      <c r="C2256">
        <v>70</v>
      </c>
      <c r="D2256">
        <v>65</v>
      </c>
    </row>
    <row r="2257" spans="1:4" x14ac:dyDescent="0.3">
      <c r="A2257" t="s">
        <v>1982</v>
      </c>
      <c r="B2257" t="s">
        <v>1948</v>
      </c>
      <c r="C2257">
        <v>800</v>
      </c>
      <c r="D2257">
        <v>656</v>
      </c>
    </row>
    <row r="2258" spans="1:4" x14ac:dyDescent="0.3">
      <c r="A2258" t="s">
        <v>1982</v>
      </c>
      <c r="B2258" t="s">
        <v>1985</v>
      </c>
      <c r="C2258">
        <v>250</v>
      </c>
      <c r="D2258">
        <v>175</v>
      </c>
    </row>
    <row r="2259" spans="1:4" x14ac:dyDescent="0.3">
      <c r="A2259" t="s">
        <v>1982</v>
      </c>
      <c r="B2259" t="s">
        <v>1992</v>
      </c>
      <c r="C2259">
        <v>30</v>
      </c>
      <c r="D2259">
        <v>29</v>
      </c>
    </row>
    <row r="2260" spans="1:4" x14ac:dyDescent="0.3">
      <c r="A2260" t="s">
        <v>1982</v>
      </c>
      <c r="B2260" t="s">
        <v>1986</v>
      </c>
      <c r="C2260">
        <v>500</v>
      </c>
      <c r="D2260">
        <v>495</v>
      </c>
    </row>
    <row r="2261" spans="1:4" x14ac:dyDescent="0.3">
      <c r="A2261" t="s">
        <v>1982</v>
      </c>
      <c r="B2261" t="s">
        <v>1985</v>
      </c>
      <c r="C2261">
        <v>250</v>
      </c>
      <c r="D2261">
        <v>228</v>
      </c>
    </row>
    <row r="2262" spans="1:4" x14ac:dyDescent="0.3">
      <c r="A2262" t="s">
        <v>1982</v>
      </c>
      <c r="B2262" t="s">
        <v>1989</v>
      </c>
      <c r="C2262">
        <v>150</v>
      </c>
      <c r="D2262">
        <v>119</v>
      </c>
    </row>
    <row r="2263" spans="1:4" x14ac:dyDescent="0.3">
      <c r="A2263" t="s">
        <v>1982</v>
      </c>
      <c r="B2263" t="s">
        <v>1988</v>
      </c>
      <c r="C2263">
        <v>70</v>
      </c>
      <c r="D2263">
        <v>52</v>
      </c>
    </row>
    <row r="2264" spans="1:4" x14ac:dyDescent="0.3">
      <c r="A2264" t="s">
        <v>1982</v>
      </c>
      <c r="B2264" t="s">
        <v>1985</v>
      </c>
      <c r="C2264">
        <v>250</v>
      </c>
      <c r="D2264">
        <v>245</v>
      </c>
    </row>
    <row r="2265" spans="1:4" x14ac:dyDescent="0.3">
      <c r="A2265" t="s">
        <v>1982</v>
      </c>
      <c r="B2265" t="s">
        <v>1989</v>
      </c>
      <c r="C2265">
        <v>150</v>
      </c>
      <c r="D2265">
        <v>150</v>
      </c>
    </row>
    <row r="2266" spans="1:4" x14ac:dyDescent="0.3">
      <c r="A2266" t="s">
        <v>1982</v>
      </c>
      <c r="B2266" t="s">
        <v>1989</v>
      </c>
      <c r="C2266">
        <v>150</v>
      </c>
      <c r="D2266">
        <v>138</v>
      </c>
    </row>
    <row r="2267" spans="1:4" x14ac:dyDescent="0.3">
      <c r="A2267" t="s">
        <v>1982</v>
      </c>
      <c r="B2267" t="s">
        <v>1990</v>
      </c>
      <c r="C2267">
        <v>50</v>
      </c>
      <c r="D2267">
        <v>44</v>
      </c>
    </row>
    <row r="2268" spans="1:4" x14ac:dyDescent="0.3">
      <c r="A2268" t="s">
        <v>1982</v>
      </c>
      <c r="B2268" t="s">
        <v>1990</v>
      </c>
      <c r="C2268">
        <v>50</v>
      </c>
      <c r="D2268">
        <v>41</v>
      </c>
    </row>
    <row r="2269" spans="1:4" x14ac:dyDescent="0.3">
      <c r="A2269" t="s">
        <v>1982</v>
      </c>
      <c r="B2269" t="s">
        <v>1986</v>
      </c>
      <c r="C2269">
        <v>500</v>
      </c>
      <c r="D2269">
        <v>490</v>
      </c>
    </row>
    <row r="2270" spans="1:4" x14ac:dyDescent="0.3">
      <c r="A2270" t="s">
        <v>1982</v>
      </c>
      <c r="B2270" t="s">
        <v>1985</v>
      </c>
      <c r="C2270">
        <v>250</v>
      </c>
      <c r="D2270">
        <v>250</v>
      </c>
    </row>
    <row r="2271" spans="1:4" x14ac:dyDescent="0.3">
      <c r="A2271" t="s">
        <v>1982</v>
      </c>
      <c r="B2271" t="s">
        <v>1949</v>
      </c>
      <c r="C2271">
        <v>700</v>
      </c>
      <c r="D2271">
        <v>525</v>
      </c>
    </row>
    <row r="2272" spans="1:4" x14ac:dyDescent="0.3">
      <c r="A2272" t="s">
        <v>1982</v>
      </c>
      <c r="B2272" t="s">
        <v>1987</v>
      </c>
      <c r="C2272">
        <v>50</v>
      </c>
      <c r="D2272">
        <v>48</v>
      </c>
    </row>
    <row r="2273" spans="1:4" x14ac:dyDescent="0.3">
      <c r="A2273" t="s">
        <v>1982</v>
      </c>
      <c r="B2273" t="s">
        <v>1949</v>
      </c>
      <c r="C2273">
        <v>700</v>
      </c>
      <c r="D2273">
        <v>574</v>
      </c>
    </row>
    <row r="2274" spans="1:4" x14ac:dyDescent="0.3">
      <c r="A2274" t="s">
        <v>1982</v>
      </c>
      <c r="B2274" t="s">
        <v>1987</v>
      </c>
      <c r="C2274">
        <v>50</v>
      </c>
      <c r="D2274">
        <v>50</v>
      </c>
    </row>
    <row r="2275" spans="1:4" x14ac:dyDescent="0.3">
      <c r="A2275" t="s">
        <v>1982</v>
      </c>
      <c r="B2275" t="s">
        <v>1987</v>
      </c>
      <c r="C2275">
        <v>50</v>
      </c>
      <c r="D2275">
        <v>46</v>
      </c>
    </row>
    <row r="2276" spans="1:4" x14ac:dyDescent="0.3">
      <c r="A2276" t="s">
        <v>1982</v>
      </c>
      <c r="B2276" t="s">
        <v>1948</v>
      </c>
      <c r="C2276">
        <v>800</v>
      </c>
      <c r="D2276">
        <v>640</v>
      </c>
    </row>
    <row r="2277" spans="1:4" x14ac:dyDescent="0.3">
      <c r="A2277" t="s">
        <v>1982</v>
      </c>
      <c r="B2277" t="s">
        <v>1948</v>
      </c>
      <c r="C2277">
        <v>800</v>
      </c>
      <c r="D2277">
        <v>456</v>
      </c>
    </row>
    <row r="2278" spans="1:4" x14ac:dyDescent="0.3">
      <c r="A2278" t="s">
        <v>1982</v>
      </c>
      <c r="B2278" t="s">
        <v>1992</v>
      </c>
      <c r="C2278">
        <v>30</v>
      </c>
      <c r="D2278">
        <v>28</v>
      </c>
    </row>
    <row r="2279" spans="1:4" x14ac:dyDescent="0.3">
      <c r="A2279" t="s">
        <v>1982</v>
      </c>
      <c r="B2279" t="s">
        <v>1988</v>
      </c>
      <c r="C2279">
        <v>70</v>
      </c>
      <c r="D2279">
        <v>55</v>
      </c>
    </row>
    <row r="2280" spans="1:4" x14ac:dyDescent="0.3">
      <c r="A2280" t="s">
        <v>1982</v>
      </c>
      <c r="B2280" t="s">
        <v>1985</v>
      </c>
      <c r="C2280">
        <v>250</v>
      </c>
      <c r="D2280">
        <v>238</v>
      </c>
    </row>
    <row r="2281" spans="1:4" x14ac:dyDescent="0.3">
      <c r="A2281" t="s">
        <v>1982</v>
      </c>
      <c r="B2281" t="s">
        <v>1989</v>
      </c>
      <c r="C2281">
        <v>150</v>
      </c>
      <c r="D2281">
        <v>114</v>
      </c>
    </row>
    <row r="2282" spans="1:4" x14ac:dyDescent="0.3">
      <c r="A2282" t="s">
        <v>1982</v>
      </c>
      <c r="B2282" t="s">
        <v>1991</v>
      </c>
      <c r="C2282">
        <v>500</v>
      </c>
      <c r="D2282">
        <v>500</v>
      </c>
    </row>
    <row r="2283" spans="1:4" x14ac:dyDescent="0.3">
      <c r="A2283" t="s">
        <v>1982</v>
      </c>
      <c r="B2283" t="s">
        <v>1992</v>
      </c>
      <c r="C2283">
        <v>30</v>
      </c>
      <c r="D2283">
        <v>23</v>
      </c>
    </row>
    <row r="2284" spans="1:4" x14ac:dyDescent="0.3">
      <c r="A2284" t="s">
        <v>1982</v>
      </c>
      <c r="B2284" t="s">
        <v>1985</v>
      </c>
      <c r="C2284">
        <v>250</v>
      </c>
      <c r="D2284">
        <v>198</v>
      </c>
    </row>
    <row r="2285" spans="1:4" x14ac:dyDescent="0.3">
      <c r="A2285" t="s">
        <v>1982</v>
      </c>
      <c r="B2285" t="s">
        <v>1990</v>
      </c>
      <c r="C2285">
        <v>50</v>
      </c>
      <c r="D2285">
        <v>40</v>
      </c>
    </row>
    <row r="2286" spans="1:4" x14ac:dyDescent="0.3">
      <c r="A2286" t="s">
        <v>1982</v>
      </c>
      <c r="B2286" t="s">
        <v>1988</v>
      </c>
      <c r="C2286">
        <v>70</v>
      </c>
      <c r="D2286">
        <v>57</v>
      </c>
    </row>
    <row r="2287" spans="1:4" x14ac:dyDescent="0.3">
      <c r="A2287" t="s">
        <v>1982</v>
      </c>
      <c r="B2287" t="s">
        <v>1985</v>
      </c>
      <c r="C2287">
        <v>250</v>
      </c>
      <c r="D2287">
        <v>208</v>
      </c>
    </row>
    <row r="2288" spans="1:4" x14ac:dyDescent="0.3">
      <c r="A2288" t="s">
        <v>1982</v>
      </c>
      <c r="B2288" t="s">
        <v>1987</v>
      </c>
      <c r="C2288">
        <v>50</v>
      </c>
      <c r="D2288">
        <v>40</v>
      </c>
    </row>
    <row r="2289" spans="1:4" x14ac:dyDescent="0.3">
      <c r="A2289" t="s">
        <v>1982</v>
      </c>
      <c r="B2289" t="s">
        <v>1989</v>
      </c>
      <c r="C2289">
        <v>150</v>
      </c>
      <c r="D2289">
        <v>122</v>
      </c>
    </row>
    <row r="2290" spans="1:4" x14ac:dyDescent="0.3">
      <c r="A2290" t="s">
        <v>1982</v>
      </c>
      <c r="B2290" t="s">
        <v>1987</v>
      </c>
      <c r="C2290">
        <v>50</v>
      </c>
      <c r="D2290">
        <v>47</v>
      </c>
    </row>
    <row r="2291" spans="1:4" x14ac:dyDescent="0.3">
      <c r="A2291" t="s">
        <v>1982</v>
      </c>
      <c r="B2291" t="s">
        <v>1992</v>
      </c>
      <c r="C2291">
        <v>30</v>
      </c>
      <c r="D2291">
        <v>26</v>
      </c>
    </row>
    <row r="2292" spans="1:4" x14ac:dyDescent="0.3">
      <c r="A2292" t="s">
        <v>1982</v>
      </c>
      <c r="B2292" t="s">
        <v>1986</v>
      </c>
      <c r="C2292">
        <v>500</v>
      </c>
      <c r="D2292">
        <v>495</v>
      </c>
    </row>
    <row r="2293" spans="1:4" x14ac:dyDescent="0.3">
      <c r="A2293" t="s">
        <v>1982</v>
      </c>
      <c r="B2293" t="s">
        <v>1992</v>
      </c>
      <c r="C2293">
        <v>30</v>
      </c>
      <c r="D2293">
        <v>26</v>
      </c>
    </row>
    <row r="2294" spans="1:4" x14ac:dyDescent="0.3">
      <c r="A2294" t="s">
        <v>1982</v>
      </c>
      <c r="B2294" t="s">
        <v>1991</v>
      </c>
      <c r="C2294">
        <v>500</v>
      </c>
      <c r="D2294">
        <v>350</v>
      </c>
    </row>
    <row r="2295" spans="1:4" x14ac:dyDescent="0.3">
      <c r="A2295" t="s">
        <v>1982</v>
      </c>
      <c r="B2295" t="s">
        <v>1987</v>
      </c>
      <c r="C2295">
        <v>50</v>
      </c>
      <c r="D2295">
        <v>43</v>
      </c>
    </row>
    <row r="2296" spans="1:4" x14ac:dyDescent="0.3">
      <c r="A2296" t="s">
        <v>1982</v>
      </c>
      <c r="B2296" t="s">
        <v>1989</v>
      </c>
      <c r="C2296">
        <v>150</v>
      </c>
      <c r="D2296">
        <v>111</v>
      </c>
    </row>
    <row r="2297" spans="1:4" x14ac:dyDescent="0.3">
      <c r="A2297" t="s">
        <v>1982</v>
      </c>
      <c r="B2297" t="s">
        <v>1992</v>
      </c>
      <c r="C2297">
        <v>30</v>
      </c>
      <c r="D2297">
        <v>30</v>
      </c>
    </row>
    <row r="2298" spans="1:4" x14ac:dyDescent="0.3">
      <c r="A2298" t="s">
        <v>1982</v>
      </c>
      <c r="B2298" t="s">
        <v>1992</v>
      </c>
      <c r="C2298">
        <v>30</v>
      </c>
      <c r="D2298">
        <v>26</v>
      </c>
    </row>
    <row r="2299" spans="1:4" x14ac:dyDescent="0.3">
      <c r="A2299" t="s">
        <v>1982</v>
      </c>
      <c r="B2299" t="s">
        <v>1992</v>
      </c>
      <c r="C2299">
        <v>30</v>
      </c>
      <c r="D2299">
        <v>26</v>
      </c>
    </row>
    <row r="2300" spans="1:4" x14ac:dyDescent="0.3">
      <c r="A2300" t="s">
        <v>1982</v>
      </c>
      <c r="B2300" t="s">
        <v>1987</v>
      </c>
      <c r="C2300">
        <v>50</v>
      </c>
      <c r="D2300">
        <v>40</v>
      </c>
    </row>
    <row r="2301" spans="1:4" x14ac:dyDescent="0.3">
      <c r="A2301" t="s">
        <v>1982</v>
      </c>
      <c r="B2301" t="s">
        <v>1992</v>
      </c>
      <c r="C2301">
        <v>30</v>
      </c>
      <c r="D2301">
        <v>29</v>
      </c>
    </row>
    <row r="2302" spans="1:4" x14ac:dyDescent="0.3">
      <c r="A2302" t="s">
        <v>1982</v>
      </c>
      <c r="B2302" t="s">
        <v>1991</v>
      </c>
      <c r="C2302">
        <v>500</v>
      </c>
      <c r="D2302">
        <v>360</v>
      </c>
    </row>
    <row r="2303" spans="1:4" x14ac:dyDescent="0.3">
      <c r="A2303" t="s">
        <v>1982</v>
      </c>
      <c r="B2303" t="s">
        <v>1985</v>
      </c>
      <c r="C2303">
        <v>250</v>
      </c>
      <c r="D2303">
        <v>193</v>
      </c>
    </row>
    <row r="2304" spans="1:4" x14ac:dyDescent="0.3">
      <c r="A2304" t="s">
        <v>1983</v>
      </c>
      <c r="B2304" t="s">
        <v>1950</v>
      </c>
      <c r="C2304">
        <v>1000</v>
      </c>
      <c r="D2304">
        <v>590</v>
      </c>
    </row>
    <row r="2305" spans="1:4" x14ac:dyDescent="0.3">
      <c r="A2305" t="s">
        <v>1983</v>
      </c>
      <c r="B2305" t="s">
        <v>1949</v>
      </c>
      <c r="C2305">
        <v>700</v>
      </c>
      <c r="D2305">
        <v>602</v>
      </c>
    </row>
    <row r="2306" spans="1:4" x14ac:dyDescent="0.3">
      <c r="A2306" t="s">
        <v>1983</v>
      </c>
      <c r="B2306" t="s">
        <v>1992</v>
      </c>
      <c r="C2306">
        <v>30</v>
      </c>
      <c r="D2306">
        <v>29</v>
      </c>
    </row>
    <row r="2307" spans="1:4" x14ac:dyDescent="0.3">
      <c r="A2307" t="s">
        <v>1983</v>
      </c>
      <c r="B2307" t="s">
        <v>1991</v>
      </c>
      <c r="C2307">
        <v>500</v>
      </c>
      <c r="D2307">
        <v>490</v>
      </c>
    </row>
    <row r="2308" spans="1:4" x14ac:dyDescent="0.3">
      <c r="A2308" t="s">
        <v>1983</v>
      </c>
      <c r="B2308" t="s">
        <v>1992</v>
      </c>
      <c r="C2308">
        <v>30</v>
      </c>
      <c r="D2308">
        <v>26</v>
      </c>
    </row>
    <row r="2309" spans="1:4" x14ac:dyDescent="0.3">
      <c r="A2309" t="s">
        <v>1983</v>
      </c>
      <c r="B2309" t="s">
        <v>1986</v>
      </c>
      <c r="C2309">
        <v>500</v>
      </c>
      <c r="D2309">
        <v>500</v>
      </c>
    </row>
    <row r="2310" spans="1:4" x14ac:dyDescent="0.3">
      <c r="A2310" t="s">
        <v>1983</v>
      </c>
      <c r="B2310" t="s">
        <v>1986</v>
      </c>
      <c r="C2310">
        <v>500</v>
      </c>
      <c r="D2310">
        <v>495</v>
      </c>
    </row>
    <row r="2311" spans="1:4" x14ac:dyDescent="0.3">
      <c r="A2311" t="s">
        <v>1983</v>
      </c>
      <c r="B2311" t="s">
        <v>1950</v>
      </c>
      <c r="C2311">
        <v>1000</v>
      </c>
      <c r="D2311">
        <v>670</v>
      </c>
    </row>
    <row r="2312" spans="1:4" x14ac:dyDescent="0.3">
      <c r="A2312" t="s">
        <v>1983</v>
      </c>
      <c r="B2312" t="s">
        <v>1988</v>
      </c>
      <c r="C2312">
        <v>70</v>
      </c>
      <c r="D2312">
        <v>65</v>
      </c>
    </row>
    <row r="2313" spans="1:4" x14ac:dyDescent="0.3">
      <c r="A2313" t="s">
        <v>1983</v>
      </c>
      <c r="B2313" t="s">
        <v>1990</v>
      </c>
      <c r="C2313">
        <v>50</v>
      </c>
      <c r="D2313">
        <v>50</v>
      </c>
    </row>
    <row r="2314" spans="1:4" x14ac:dyDescent="0.3">
      <c r="A2314" t="s">
        <v>1983</v>
      </c>
      <c r="B2314" t="s">
        <v>1992</v>
      </c>
      <c r="C2314">
        <v>30</v>
      </c>
      <c r="D2314">
        <v>28</v>
      </c>
    </row>
    <row r="2315" spans="1:4" x14ac:dyDescent="0.3">
      <c r="A2315" t="s">
        <v>1983</v>
      </c>
      <c r="B2315" t="s">
        <v>1989</v>
      </c>
      <c r="C2315">
        <v>150</v>
      </c>
      <c r="D2315">
        <v>144</v>
      </c>
    </row>
    <row r="2316" spans="1:4" x14ac:dyDescent="0.3">
      <c r="A2316" t="s">
        <v>1983</v>
      </c>
      <c r="B2316" t="s">
        <v>1949</v>
      </c>
      <c r="C2316">
        <v>700</v>
      </c>
      <c r="D2316">
        <v>658</v>
      </c>
    </row>
    <row r="2317" spans="1:4" x14ac:dyDescent="0.3">
      <c r="A2317" t="s">
        <v>1983</v>
      </c>
      <c r="B2317" t="s">
        <v>1990</v>
      </c>
      <c r="C2317">
        <v>50</v>
      </c>
      <c r="D2317">
        <v>50</v>
      </c>
    </row>
    <row r="2318" spans="1:4" x14ac:dyDescent="0.3">
      <c r="A2318" t="s">
        <v>1983</v>
      </c>
      <c r="B2318" t="s">
        <v>1990</v>
      </c>
      <c r="C2318">
        <v>50</v>
      </c>
      <c r="D2318">
        <v>45</v>
      </c>
    </row>
    <row r="2319" spans="1:4" x14ac:dyDescent="0.3">
      <c r="A2319" t="s">
        <v>1983</v>
      </c>
      <c r="B2319" t="s">
        <v>1950</v>
      </c>
      <c r="C2319">
        <v>1000</v>
      </c>
      <c r="D2319">
        <v>520</v>
      </c>
    </row>
    <row r="2320" spans="1:4" x14ac:dyDescent="0.3">
      <c r="A2320" t="s">
        <v>1983</v>
      </c>
      <c r="B2320" t="s">
        <v>1991</v>
      </c>
      <c r="C2320">
        <v>500</v>
      </c>
      <c r="D2320">
        <v>450</v>
      </c>
    </row>
    <row r="2321" spans="1:4" x14ac:dyDescent="0.3">
      <c r="A2321" t="s">
        <v>1983</v>
      </c>
      <c r="B2321" t="s">
        <v>1987</v>
      </c>
      <c r="C2321">
        <v>50</v>
      </c>
      <c r="D2321">
        <v>50</v>
      </c>
    </row>
    <row r="2322" spans="1:4" x14ac:dyDescent="0.3">
      <c r="A2322" t="s">
        <v>1983</v>
      </c>
      <c r="B2322" t="s">
        <v>1988</v>
      </c>
      <c r="C2322">
        <v>70</v>
      </c>
      <c r="D2322">
        <v>65</v>
      </c>
    </row>
    <row r="2323" spans="1:4" x14ac:dyDescent="0.3">
      <c r="A2323" t="s">
        <v>1983</v>
      </c>
      <c r="B2323" t="s">
        <v>1984</v>
      </c>
      <c r="C2323">
        <v>80</v>
      </c>
      <c r="D2323">
        <v>75</v>
      </c>
    </row>
    <row r="2324" spans="1:4" x14ac:dyDescent="0.3">
      <c r="A2324" t="s">
        <v>1983</v>
      </c>
      <c r="B2324" t="s">
        <v>1987</v>
      </c>
      <c r="C2324">
        <v>50</v>
      </c>
      <c r="D2324">
        <v>46</v>
      </c>
    </row>
    <row r="2325" spans="1:4" x14ac:dyDescent="0.3">
      <c r="A2325" t="s">
        <v>1983</v>
      </c>
      <c r="B2325" t="s">
        <v>1948</v>
      </c>
      <c r="C2325">
        <v>800</v>
      </c>
      <c r="D2325">
        <v>528</v>
      </c>
    </row>
    <row r="2326" spans="1:4" x14ac:dyDescent="0.3">
      <c r="A2326" t="s">
        <v>1983</v>
      </c>
      <c r="B2326" t="s">
        <v>1984</v>
      </c>
      <c r="C2326">
        <v>80</v>
      </c>
      <c r="D2326">
        <v>78</v>
      </c>
    </row>
    <row r="2327" spans="1:4" x14ac:dyDescent="0.3">
      <c r="A2327" t="s">
        <v>1983</v>
      </c>
      <c r="B2327" t="s">
        <v>1987</v>
      </c>
      <c r="C2327">
        <v>50</v>
      </c>
      <c r="D2327">
        <v>49</v>
      </c>
    </row>
    <row r="2328" spans="1:4" x14ac:dyDescent="0.3">
      <c r="A2328" t="s">
        <v>1983</v>
      </c>
      <c r="B2328" t="s">
        <v>1990</v>
      </c>
      <c r="C2328">
        <v>50</v>
      </c>
      <c r="D2328">
        <v>48</v>
      </c>
    </row>
    <row r="2329" spans="1:4" x14ac:dyDescent="0.3">
      <c r="A2329" t="s">
        <v>1983</v>
      </c>
      <c r="B2329" t="s">
        <v>1949</v>
      </c>
      <c r="C2329">
        <v>700</v>
      </c>
      <c r="D2329">
        <v>630</v>
      </c>
    </row>
    <row r="2330" spans="1:4" x14ac:dyDescent="0.3">
      <c r="A2330" t="s">
        <v>1983</v>
      </c>
      <c r="B2330" t="s">
        <v>1988</v>
      </c>
      <c r="C2330">
        <v>70</v>
      </c>
      <c r="D2330">
        <v>53</v>
      </c>
    </row>
    <row r="2331" spans="1:4" x14ac:dyDescent="0.3">
      <c r="A2331" t="s">
        <v>1983</v>
      </c>
      <c r="B2331" t="s">
        <v>1991</v>
      </c>
      <c r="C2331">
        <v>500</v>
      </c>
      <c r="D2331">
        <v>360</v>
      </c>
    </row>
    <row r="2332" spans="1:4" x14ac:dyDescent="0.3">
      <c r="A2332" t="s">
        <v>1983</v>
      </c>
      <c r="B2332" t="s">
        <v>1984</v>
      </c>
      <c r="C2332">
        <v>80</v>
      </c>
      <c r="D2332">
        <v>78</v>
      </c>
    </row>
    <row r="2333" spans="1:4" x14ac:dyDescent="0.3">
      <c r="A2333" t="s">
        <v>1983</v>
      </c>
      <c r="B2333" t="s">
        <v>1985</v>
      </c>
      <c r="C2333">
        <v>250</v>
      </c>
      <c r="D2333">
        <v>163</v>
      </c>
    </row>
    <row r="2334" spans="1:4" x14ac:dyDescent="0.3">
      <c r="A2334" t="s">
        <v>1983</v>
      </c>
      <c r="B2334" t="s">
        <v>1986</v>
      </c>
      <c r="C2334">
        <v>500</v>
      </c>
      <c r="D2334">
        <v>495</v>
      </c>
    </row>
    <row r="2335" spans="1:4" x14ac:dyDescent="0.3">
      <c r="A2335" t="s">
        <v>1983</v>
      </c>
      <c r="B2335" t="s">
        <v>1988</v>
      </c>
      <c r="C2335">
        <v>70</v>
      </c>
      <c r="D2335">
        <v>67</v>
      </c>
    </row>
    <row r="2336" spans="1:4" x14ac:dyDescent="0.3">
      <c r="A2336" t="s">
        <v>1983</v>
      </c>
      <c r="B2336" t="s">
        <v>1985</v>
      </c>
      <c r="C2336">
        <v>250</v>
      </c>
      <c r="D2336">
        <v>168</v>
      </c>
    </row>
    <row r="2337" spans="1:4" x14ac:dyDescent="0.3">
      <c r="A2337" t="s">
        <v>1983</v>
      </c>
      <c r="B2337" t="s">
        <v>1991</v>
      </c>
      <c r="C2337">
        <v>500</v>
      </c>
      <c r="D2337">
        <v>365</v>
      </c>
    </row>
    <row r="2338" spans="1:4" x14ac:dyDescent="0.3">
      <c r="A2338" t="s">
        <v>1983</v>
      </c>
      <c r="B2338" t="s">
        <v>1988</v>
      </c>
      <c r="C2338">
        <v>70</v>
      </c>
      <c r="D2338">
        <v>62</v>
      </c>
    </row>
    <row r="2339" spans="1:4" x14ac:dyDescent="0.3">
      <c r="A2339" t="s">
        <v>1983</v>
      </c>
      <c r="B2339" t="s">
        <v>1988</v>
      </c>
      <c r="C2339">
        <v>70</v>
      </c>
      <c r="D2339">
        <v>57</v>
      </c>
    </row>
    <row r="2340" spans="1:4" x14ac:dyDescent="0.3">
      <c r="A2340" t="s">
        <v>1983</v>
      </c>
      <c r="B2340" t="s">
        <v>1987</v>
      </c>
      <c r="C2340">
        <v>50</v>
      </c>
      <c r="D2340">
        <v>37</v>
      </c>
    </row>
    <row r="2341" spans="1:4" x14ac:dyDescent="0.3">
      <c r="A2341" t="s">
        <v>1983</v>
      </c>
      <c r="B2341" t="s">
        <v>1992</v>
      </c>
      <c r="C2341">
        <v>30</v>
      </c>
      <c r="D2341">
        <v>26</v>
      </c>
    </row>
    <row r="2342" spans="1:4" x14ac:dyDescent="0.3">
      <c r="A2342" t="s">
        <v>1983</v>
      </c>
      <c r="B2342" t="s">
        <v>1992</v>
      </c>
      <c r="C2342">
        <v>30</v>
      </c>
      <c r="D2342">
        <v>29</v>
      </c>
    </row>
    <row r="2343" spans="1:4" x14ac:dyDescent="0.3">
      <c r="A2343" t="s">
        <v>1983</v>
      </c>
      <c r="B2343" t="s">
        <v>1985</v>
      </c>
      <c r="C2343">
        <v>250</v>
      </c>
      <c r="D2343">
        <v>205</v>
      </c>
    </row>
  </sheetData>
  <mergeCells count="3">
    <mergeCell ref="A1:D1"/>
    <mergeCell ref="A2:D2"/>
    <mergeCell ref="A3:D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3EEA-D05E-4A02-B363-674DF26BCE39}">
  <sheetPr>
    <tabColor theme="8"/>
  </sheetPr>
  <dimension ref="A1:I10"/>
  <sheetViews>
    <sheetView tabSelected="1" workbookViewId="0">
      <selection activeCell="I5" sqref="I5:I10"/>
    </sheetView>
  </sheetViews>
  <sheetFormatPr defaultColWidth="9.109375" defaultRowHeight="15.6" x14ac:dyDescent="0.3"/>
  <cols>
    <col min="1" max="1" width="13.44140625" style="76" customWidth="1"/>
    <col min="2" max="3" width="9.109375" style="76"/>
    <col min="4" max="4" width="10.88671875" style="76" bestFit="1" customWidth="1"/>
    <col min="5" max="5" width="11" style="76" bestFit="1" customWidth="1"/>
    <col min="6" max="7" width="14.5546875" style="76" customWidth="1"/>
    <col min="8" max="8" width="19.109375" style="76" customWidth="1"/>
    <col min="9" max="9" width="17" style="76" customWidth="1"/>
    <col min="10" max="16384" width="9.109375" style="76"/>
  </cols>
  <sheetData>
    <row r="1" spans="1:9" x14ac:dyDescent="0.3">
      <c r="A1" s="124"/>
    </row>
    <row r="2" spans="1:9" ht="21.6" customHeight="1" x14ac:dyDescent="0.3">
      <c r="A2" s="125"/>
      <c r="D2" s="151" t="s">
        <v>1994</v>
      </c>
      <c r="E2" s="151"/>
      <c r="F2" s="151"/>
      <c r="G2" s="151"/>
      <c r="H2" s="151"/>
      <c r="I2" s="151"/>
    </row>
    <row r="3" spans="1:9" ht="24" customHeight="1" x14ac:dyDescent="0.3">
      <c r="D3" s="151"/>
      <c r="E3" s="151"/>
      <c r="F3" s="151"/>
      <c r="G3" s="151"/>
      <c r="H3" s="151"/>
      <c r="I3" s="151"/>
    </row>
    <row r="4" spans="1:9" x14ac:dyDescent="0.3">
      <c r="D4" s="75" t="s">
        <v>1995</v>
      </c>
      <c r="E4" s="75" t="s">
        <v>1996</v>
      </c>
      <c r="F4" s="75" t="s">
        <v>1997</v>
      </c>
      <c r="G4" s="75" t="s">
        <v>1998</v>
      </c>
      <c r="H4" s="75" t="s">
        <v>1999</v>
      </c>
      <c r="I4" s="75" t="s">
        <v>464</v>
      </c>
    </row>
    <row r="5" spans="1:9" x14ac:dyDescent="0.3">
      <c r="D5" s="10" t="s">
        <v>473</v>
      </c>
      <c r="E5" s="10">
        <v>10</v>
      </c>
      <c r="F5" s="10">
        <v>122</v>
      </c>
      <c r="G5" s="10">
        <v>35</v>
      </c>
      <c r="H5" s="10">
        <v>87</v>
      </c>
      <c r="I5" s="158">
        <f>LARGE(F5:F10,3)+SMALL(G5:G10,3)</f>
        <v>278</v>
      </c>
    </row>
    <row r="6" spans="1:9" x14ac:dyDescent="0.3">
      <c r="D6" s="10" t="s">
        <v>468</v>
      </c>
      <c r="E6" s="10">
        <v>10</v>
      </c>
      <c r="F6" s="10">
        <v>200</v>
      </c>
      <c r="G6" s="10">
        <v>44</v>
      </c>
      <c r="H6" s="10">
        <v>156</v>
      </c>
      <c r="I6" s="159"/>
    </row>
    <row r="7" spans="1:9" x14ac:dyDescent="0.3">
      <c r="D7" s="10" t="s">
        <v>471</v>
      </c>
      <c r="E7" s="10">
        <v>10</v>
      </c>
      <c r="F7" s="10">
        <v>455</v>
      </c>
      <c r="G7" s="10">
        <v>215</v>
      </c>
      <c r="H7" s="10">
        <v>240</v>
      </c>
      <c r="I7" s="159"/>
    </row>
    <row r="8" spans="1:9" x14ac:dyDescent="0.3">
      <c r="D8" s="10" t="s">
        <v>466</v>
      </c>
      <c r="E8" s="10">
        <v>10</v>
      </c>
      <c r="F8" s="10">
        <v>155</v>
      </c>
      <c r="G8" s="10">
        <v>78</v>
      </c>
      <c r="H8" s="10">
        <v>77</v>
      </c>
      <c r="I8" s="159"/>
    </row>
    <row r="9" spans="1:9" x14ac:dyDescent="0.3">
      <c r="D9" s="10" t="s">
        <v>466</v>
      </c>
      <c r="E9" s="126">
        <v>11</v>
      </c>
      <c r="F9" s="10">
        <v>121</v>
      </c>
      <c r="G9" s="10">
        <v>988</v>
      </c>
      <c r="H9" s="10">
        <v>240</v>
      </c>
      <c r="I9" s="159"/>
    </row>
    <row r="10" spans="1:9" x14ac:dyDescent="0.3">
      <c r="D10" s="10" t="s">
        <v>471</v>
      </c>
      <c r="E10" s="126">
        <v>54</v>
      </c>
      <c r="F10" s="126">
        <v>477</v>
      </c>
      <c r="G10" s="126">
        <v>540</v>
      </c>
      <c r="H10" s="126">
        <v>48</v>
      </c>
      <c r="I10" s="160"/>
    </row>
  </sheetData>
  <mergeCells count="2">
    <mergeCell ref="I5:I10"/>
    <mergeCell ref="D2: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HOME</vt:lpstr>
      <vt:lpstr>SHORTCUTS</vt:lpstr>
      <vt:lpstr>Funksiya MƏLUMAT</vt:lpstr>
      <vt:lpstr>SUMIFS</vt:lpstr>
      <vt:lpstr>Other Formulas</vt:lpstr>
      <vt:lpstr>COUNTIFS</vt:lpstr>
      <vt:lpstr>Practise</vt:lpstr>
      <vt:lpstr>Task #1</vt:lpstr>
      <vt:lpstr>Task #2</vt:lpstr>
      <vt:lpstr>Aralıq şərti</vt:lpstr>
      <vt:lpstr>Joker simvollar</vt:lpstr>
      <vt:lpstr>Task #3</vt:lpstr>
      <vt:lpstr>LARGE &amp;SMALL</vt:lpstr>
      <vt:lpstr>SUBTOTAL&amp;AGGREGATE</vt:lpstr>
      <vt:lpstr>Task #4</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 Taylor</dc:creator>
  <cp:lastModifiedBy>Zachary Taylor</cp:lastModifiedBy>
  <dcterms:created xsi:type="dcterms:W3CDTF">2024-08-18T08:38:38Z</dcterms:created>
  <dcterms:modified xsi:type="dcterms:W3CDTF">2025-06-05T16:04:01Z</dcterms:modified>
</cp:coreProperties>
</file>